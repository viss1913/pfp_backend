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ходные данные" sheetId="1" r:id="rId1"/>
    <sheet name="Помесячный расчет" sheetId="2" r:id="rId2"/>
    <sheet name="Итог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Параметр</v>
      </c>
      <c r="B1" t="str">
        <v>Значение</v>
      </c>
    </row>
    <row r="2">
      <c r="A2" t="str">
        <v>Возраст</v>
      </c>
      <c r="B2">
        <v>45</v>
      </c>
    </row>
    <row r="3">
      <c r="A3" t="str">
        <v>Доход (руб)</v>
      </c>
      <c r="B3">
        <v>120000</v>
      </c>
    </row>
    <row r="4">
      <c r="A4" t="str">
        <v>Категория софин.</v>
      </c>
      <c r="B4" t="str">
        <v>1:2</v>
      </c>
    </row>
    <row r="5">
      <c r="A5" t="str">
        <v>Взнос (руб/мес)</v>
      </c>
      <c r="B5">
        <v>6000</v>
      </c>
    </row>
    <row r="6">
      <c r="A6" t="str">
        <v>Ставка (% год)</v>
      </c>
      <c r="B6">
        <v>10</v>
      </c>
    </row>
    <row r="7">
      <c r="A7" t="str">
        <v>Срок (лет)</v>
      </c>
      <c r="B7">
        <v>15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1"/>
  <sheetViews>
    <sheetView workbookViewId="0"/>
  </sheetViews>
  <cols>
    <col min="1" max="1" width="8.83203125" customWidth="1"/>
    <col min="2" max="2" width="6.83203125" customWidth="1"/>
    <col min="3" max="3" width="8.83203125" customWidth="1"/>
    <col min="4" max="4" width="15.83203125" customWidth="1"/>
    <col min="5" max="5" width="12.83203125" customWidth="1"/>
    <col min="6" max="6" width="18.83203125" customWidth="1"/>
    <col min="7" max="7" width="12.83203125" customWidth="1"/>
    <col min="8" max="8" width="15.83203125" customWidth="1"/>
  </cols>
  <sheetData>
    <row r="1">
      <c r="A1" t="str">
        <v>Месяц №</v>
      </c>
      <c r="B1" t="str">
        <v>Год</v>
      </c>
      <c r="C1" t="str">
        <v>Месяц</v>
      </c>
      <c r="D1" t="str">
        <v>Капитал на начало</v>
      </c>
      <c r="E1" t="str">
        <v>Взнос</v>
      </c>
      <c r="F1" t="str">
        <v>Софинансирование</v>
      </c>
      <c r="G1" t="str">
        <v>Доход (%)</v>
      </c>
      <c r="H1" t="str">
        <v>Капитал на конец</v>
      </c>
    </row>
    <row r="2">
      <c r="A2">
        <v>1</v>
      </c>
      <c r="B2">
        <v>2025</v>
      </c>
      <c r="C2" t="str">
        <v>Янв</v>
      </c>
      <c r="D2">
        <v>0</v>
      </c>
      <c r="E2">
        <v>6000</v>
      </c>
      <c r="F2">
        <v>0</v>
      </c>
      <c r="G2">
        <f>D2*0.00797414</f>
        <v>0</v>
      </c>
      <c r="H2">
        <f>SUM(D2:G2)</f>
        <v>6000</v>
      </c>
    </row>
    <row r="3">
      <c r="A3">
        <v>2</v>
      </c>
      <c r="B3">
        <v>2025</v>
      </c>
      <c r="C3" t="str">
        <v>Фев</v>
      </c>
      <c r="D3">
        <f>H2</f>
        <v>6000</v>
      </c>
      <c r="E3">
        <v>6019.8</v>
      </c>
      <c r="F3">
        <v>0</v>
      </c>
      <c r="G3">
        <f>D3*0.00797414</f>
        <v>47.84484257342258</v>
      </c>
      <c r="H3">
        <f>SUM(D3:G3)</f>
        <v>12067.644842573423</v>
      </c>
    </row>
    <row r="4">
      <c r="A4">
        <v>3</v>
      </c>
      <c r="B4">
        <v>2025</v>
      </c>
      <c r="C4" t="str">
        <v>Март</v>
      </c>
      <c r="D4">
        <f>H3</f>
        <v>12067.644842573423</v>
      </c>
      <c r="E4">
        <v>6039.6653400000005</v>
      </c>
      <c r="F4">
        <v>0</v>
      </c>
      <c r="G4">
        <f>D4*0.00797414</f>
        <v>96.22909462081674</v>
      </c>
      <c r="H4">
        <f>SUM(D4:G4)</f>
        <v>18203.53927719424</v>
      </c>
    </row>
    <row r="5">
      <c r="A5">
        <v>4</v>
      </c>
      <c r="B5">
        <v>2025</v>
      </c>
      <c r="C5" t="str">
        <v>Апр</v>
      </c>
      <c r="D5">
        <f>H4</f>
        <v>18203.53927719424</v>
      </c>
      <c r="E5">
        <v>6059.596235622002</v>
      </c>
      <c r="F5">
        <v>0</v>
      </c>
      <c r="G5">
        <f>D5*0.00797414</f>
        <v>145.15757849941218</v>
      </c>
      <c r="H5">
        <f>SUM(D5:G5)</f>
        <v>24408.293091315652</v>
      </c>
    </row>
    <row r="6">
      <c r="A6">
        <v>5</v>
      </c>
      <c r="B6">
        <v>2025</v>
      </c>
      <c r="C6" t="str">
        <v>Май</v>
      </c>
      <c r="D6">
        <f>H5</f>
        <v>24408.293091315652</v>
      </c>
      <c r="E6">
        <v>6079.592903199555</v>
      </c>
      <c r="F6">
        <v>0</v>
      </c>
      <c r="G6">
        <f>D6*0.00797414</f>
        <v>194.6351567399926</v>
      </c>
      <c r="H6">
        <f>SUM(D6:G6)</f>
        <v>30682.5211512552</v>
      </c>
    </row>
    <row r="7">
      <c r="A7">
        <v>6</v>
      </c>
      <c r="B7">
        <v>2025</v>
      </c>
      <c r="C7" t="str">
        <v>Июнь</v>
      </c>
      <c r="D7">
        <f>H6</f>
        <v>30682.5211512552</v>
      </c>
      <c r="E7">
        <v>6099.655559780113</v>
      </c>
      <c r="F7">
        <v>0</v>
      </c>
      <c r="G7">
        <f>D7*0.00797414</f>
        <v>244.66673237291897</v>
      </c>
      <c r="H7">
        <f>SUM(D7:G7)</f>
        <v>37026.84344340824</v>
      </c>
    </row>
    <row r="8">
      <c r="A8">
        <v>7</v>
      </c>
      <c r="B8">
        <v>2025</v>
      </c>
      <c r="C8" t="str">
        <v>Июль</v>
      </c>
      <c r="D8">
        <f>H7</f>
        <v>37026.84344340824</v>
      </c>
      <c r="E8">
        <v>6119.784423127388</v>
      </c>
      <c r="F8">
        <v>0</v>
      </c>
      <c r="G8">
        <f>D8*0.00797414</f>
        <v>295.2572492567719</v>
      </c>
      <c r="H8">
        <f>SUM(D8:G8)</f>
        <v>43441.88511579239</v>
      </c>
    </row>
    <row r="9">
      <c r="A9">
        <v>8</v>
      </c>
      <c r="B9">
        <v>2025</v>
      </c>
      <c r="C9" t="str">
        <v>Авг</v>
      </c>
      <c r="D9">
        <f>H8</f>
        <v>43441.88511579239</v>
      </c>
      <c r="E9">
        <v>6139.979711723709</v>
      </c>
      <c r="F9">
        <v>0</v>
      </c>
      <c r="G9">
        <f>D9*0.00797414</f>
        <v>346.4116924096328</v>
      </c>
      <c r="H9">
        <f>SUM(D9:G9)</f>
        <v>49928.276519925734</v>
      </c>
    </row>
    <row r="10">
      <c r="A10">
        <v>9</v>
      </c>
      <c r="B10">
        <v>2025</v>
      </c>
      <c r="C10" t="str">
        <v>Сен</v>
      </c>
      <c r="D10">
        <f>H9</f>
        <v>49928.276519925734</v>
      </c>
      <c r="E10">
        <v>6160.241644772398</v>
      </c>
      <c r="F10">
        <v>0</v>
      </c>
      <c r="G10">
        <f>D10*0.00797414</f>
        <v>398.1350883430263</v>
      </c>
      <c r="H10">
        <f>SUM(D10:G10)</f>
        <v>56486.65325304116</v>
      </c>
    </row>
    <row r="11">
      <c r="A11">
        <v>10</v>
      </c>
      <c r="B11">
        <v>2025</v>
      </c>
      <c r="C11" t="str">
        <v>Окт</v>
      </c>
      <c r="D11">
        <f>H10</f>
        <v>56486.65325304116</v>
      </c>
      <c r="E11">
        <v>6180.570442200147</v>
      </c>
      <c r="F11">
        <v>0</v>
      </c>
      <c r="G11">
        <f>D11*0.00797414</f>
        <v>450.4325053985438</v>
      </c>
      <c r="H11">
        <f>SUM(D11:G11)</f>
        <v>63117.656200639845</v>
      </c>
    </row>
    <row r="12">
      <c r="A12">
        <v>11</v>
      </c>
      <c r="B12">
        <v>2025</v>
      </c>
      <c r="C12" t="str">
        <v>Ноя</v>
      </c>
      <c r="D12">
        <f>H11</f>
        <v>63117.656200639845</v>
      </c>
      <c r="E12">
        <v>6200.966324659408</v>
      </c>
      <c r="F12">
        <v>0</v>
      </c>
      <c r="G12">
        <f>D12*0.00797414</f>
        <v>503.3090540871706</v>
      </c>
      <c r="H12">
        <f>SUM(D12:G12)</f>
        <v>69821.93157938642</v>
      </c>
    </row>
    <row r="13">
      <c r="A13">
        <v>12</v>
      </c>
      <c r="B13">
        <v>2025</v>
      </c>
      <c r="C13" t="str">
        <v>Дек</v>
      </c>
      <c r="D13">
        <f>H12</f>
        <v>69821.93157938642</v>
      </c>
      <c r="E13">
        <v>6221.429513530786</v>
      </c>
      <c r="F13">
        <v>0</v>
      </c>
      <c r="G13">
        <f>D13*0.00797414</f>
        <v>556.7698874313377</v>
      </c>
      <c r="H13">
        <f>SUM(D13:G13)</f>
        <v>76600.13098034855</v>
      </c>
    </row>
    <row r="14">
      <c r="A14">
        <v>13</v>
      </c>
      <c r="B14">
        <v>2026</v>
      </c>
      <c r="C14" t="str">
        <v>Янв</v>
      </c>
      <c r="D14">
        <f>H13</f>
        <v>76600.13098034855</v>
      </c>
      <c r="E14">
        <v>6241.960230925437</v>
      </c>
      <c r="F14">
        <v>0</v>
      </c>
      <c r="G14">
        <f>D14*0.00797414</f>
        <v>610.8202013097211</v>
      </c>
      <c r="H14">
        <f>SUM(D14:G14)</f>
        <v>83452.91141258371</v>
      </c>
    </row>
    <row r="15">
      <c r="A15">
        <v>14</v>
      </c>
      <c r="B15">
        <v>2026</v>
      </c>
      <c r="C15" t="str">
        <v>Фев</v>
      </c>
      <c r="D15">
        <f>H14</f>
        <v>83452.91141258371</v>
      </c>
      <c r="E15">
        <v>6262.558699687492</v>
      </c>
      <c r="F15">
        <v>0</v>
      </c>
      <c r="G15">
        <f>D15*0.00797414</f>
        <v>665.4652348048081</v>
      </c>
      <c r="H15">
        <f>SUM(D15:G15)</f>
        <v>90380.93534707601</v>
      </c>
    </row>
    <row r="16">
      <c r="A16">
        <v>15</v>
      </c>
      <c r="B16">
        <v>2026</v>
      </c>
      <c r="C16" t="str">
        <v>Март</v>
      </c>
      <c r="D16">
        <f>H15</f>
        <v>90380.93534707601</v>
      </c>
      <c r="E16">
        <v>6283.22514339646</v>
      </c>
      <c r="F16">
        <v>0</v>
      </c>
      <c r="G16">
        <f>D16*0.00797414</f>
        <v>720.7102705532561</v>
      </c>
      <c r="H16">
        <f>SUM(D16:G16)</f>
        <v>97384.87076102573</v>
      </c>
    </row>
    <row r="17">
      <c r="A17">
        <v>16</v>
      </c>
      <c r="B17">
        <v>2026</v>
      </c>
      <c r="C17" t="str">
        <v>Апр</v>
      </c>
      <c r="D17">
        <f>H16</f>
        <v>97384.87076102573</v>
      </c>
      <c r="E17">
        <v>6303.95978636967</v>
      </c>
      <c r="F17">
        <v>0</v>
      </c>
      <c r="G17">
        <f>D17*0.00797414</f>
        <v>776.5606350990633</v>
      </c>
      <c r="H17">
        <f>SUM(D17:G17)</f>
        <v>104465.39118249445</v>
      </c>
    </row>
    <row r="18">
      <c r="A18">
        <v>17</v>
      </c>
      <c r="B18">
        <v>2026</v>
      </c>
      <c r="C18" t="str">
        <v>Май</v>
      </c>
      <c r="D18">
        <f>H17</f>
        <v>104465.39118249445</v>
      </c>
      <c r="E18">
        <v>6324.76285366469</v>
      </c>
      <c r="F18">
        <v>0</v>
      </c>
      <c r="G18">
        <f>D18*0.00797414</f>
        <v>833.0216992495758</v>
      </c>
      <c r="H18">
        <f>SUM(D18:G18)</f>
        <v>111623.17573540872</v>
      </c>
    </row>
    <row r="19">
      <c r="A19">
        <v>18</v>
      </c>
      <c r="B19">
        <v>2026</v>
      </c>
      <c r="C19" t="str">
        <v>Июнь</v>
      </c>
      <c r="D19">
        <f>H18</f>
        <v>111623.17573540872</v>
      </c>
      <c r="E19">
        <v>6345.634571081784</v>
      </c>
      <c r="F19">
        <v>0</v>
      </c>
      <c r="G19">
        <f>D19*0.00797414</f>
        <v>890.0988784343523</v>
      </c>
      <c r="H19">
        <f>SUM(D19:G19)</f>
        <v>118858.90918492485</v>
      </c>
    </row>
    <row r="20">
      <c r="A20">
        <v>19</v>
      </c>
      <c r="B20">
        <v>2026</v>
      </c>
      <c r="C20" t="str">
        <v>Июль</v>
      </c>
      <c r="D20">
        <f>H19</f>
        <v>118858.90918492485</v>
      </c>
      <c r="E20">
        <v>6366.575165166354</v>
      </c>
      <c r="F20">
        <v>0</v>
      </c>
      <c r="G20">
        <f>D20*0.00797414</f>
        <v>947.7976330669102</v>
      </c>
      <c r="H20">
        <f>SUM(D20:G20)</f>
        <v>126173.28198315811</v>
      </c>
    </row>
    <row r="21">
      <c r="A21">
        <v>20</v>
      </c>
      <c r="B21">
        <v>2026</v>
      </c>
      <c r="C21" t="str">
        <v>Авг</v>
      </c>
      <c r="D21">
        <f>H20</f>
        <v>126173.28198315811</v>
      </c>
      <c r="E21">
        <v>6387.584863211404</v>
      </c>
      <c r="F21">
        <v>36000</v>
      </c>
      <c r="G21">
        <f>D21*0.00797414</f>
        <v>1006.123468909376</v>
      </c>
      <c r="H21">
        <f>SUM(D21:G21)</f>
        <v>169566.99031527888</v>
      </c>
    </row>
    <row r="22">
      <c r="A22">
        <v>21</v>
      </c>
      <c r="B22">
        <v>2026</v>
      </c>
      <c r="C22" t="str">
        <v>Сен</v>
      </c>
      <c r="D22">
        <f>H21</f>
        <v>169566.99031527888</v>
      </c>
      <c r="E22">
        <v>6408.663893260002</v>
      </c>
      <c r="F22">
        <v>0</v>
      </c>
      <c r="G22">
        <f>D22*0.00797414</f>
        <v>1352.1509928805983</v>
      </c>
      <c r="H22">
        <f>SUM(D22:G22)</f>
        <v>177327.80520141948</v>
      </c>
    </row>
    <row r="23">
      <c r="A23">
        <v>22</v>
      </c>
      <c r="B23">
        <v>2026</v>
      </c>
      <c r="C23" t="str">
        <v>Окт</v>
      </c>
      <c r="D23">
        <f>H22</f>
        <v>177327.80520141948</v>
      </c>
      <c r="E23">
        <v>6429.812484107761</v>
      </c>
      <c r="F23">
        <v>0</v>
      </c>
      <c r="G23">
        <f>D23*0.00797414</f>
        <v>1414.0368206254104</v>
      </c>
      <c r="H23">
        <f>SUM(D23:G23)</f>
        <v>185171.65450615267</v>
      </c>
    </row>
    <row r="24">
      <c r="A24">
        <v>23</v>
      </c>
      <c r="B24">
        <v>2026</v>
      </c>
      <c r="C24" t="str">
        <v>Ноя</v>
      </c>
      <c r="D24">
        <f>H23</f>
        <v>185171.65450615267</v>
      </c>
      <c r="E24">
        <v>6451.030865305316</v>
      </c>
      <c r="F24">
        <v>0</v>
      </c>
      <c r="G24">
        <f>D24*0.00797414</f>
        <v>1476.5847764845118</v>
      </c>
      <c r="H24">
        <f>SUM(D24:G24)</f>
        <v>193099.2701479425</v>
      </c>
    </row>
    <row r="25">
      <c r="A25">
        <v>24</v>
      </c>
      <c r="B25">
        <v>2026</v>
      </c>
      <c r="C25" t="str">
        <v>Дек</v>
      </c>
      <c r="D25">
        <f>H24</f>
        <v>193099.2701479425</v>
      </c>
      <c r="E25">
        <v>6472.319267160825</v>
      </c>
      <c r="F25">
        <v>0</v>
      </c>
      <c r="G25">
        <f>D25*0.00797414</f>
        <v>1539.800696878518</v>
      </c>
      <c r="H25">
        <f>SUM(D25:G25)</f>
        <v>201111.39011198183</v>
      </c>
    </row>
    <row r="26">
      <c r="A26">
        <v>25</v>
      </c>
      <c r="B26">
        <v>2027</v>
      </c>
      <c r="C26" t="str">
        <v>Янв</v>
      </c>
      <c r="D26">
        <f>H25</f>
        <v>201111.39011198183</v>
      </c>
      <c r="E26">
        <v>6493.677920742456</v>
      </c>
      <c r="F26">
        <v>0</v>
      </c>
      <c r="G26">
        <f>D26*0.00797414</f>
        <v>1603.6904666049911</v>
      </c>
      <c r="H26">
        <f>SUM(D26:G26)</f>
        <v>209208.75849932927</v>
      </c>
    </row>
    <row r="27">
      <c r="A27">
        <v>26</v>
      </c>
      <c r="B27">
        <v>2027</v>
      </c>
      <c r="C27" t="str">
        <v>Фев</v>
      </c>
      <c r="D27">
        <f>H26</f>
        <v>209208.75849932927</v>
      </c>
      <c r="E27">
        <v>6515.107057880907</v>
      </c>
      <c r="F27">
        <v>0</v>
      </c>
      <c r="G27">
        <f>D27*0.00797414</f>
        <v>1668.2600192302655</v>
      </c>
      <c r="H27">
        <f>SUM(D27:G27)</f>
        <v>217392.12557644045</v>
      </c>
    </row>
    <row r="28">
      <c r="A28">
        <v>27</v>
      </c>
      <c r="B28">
        <v>2027</v>
      </c>
      <c r="C28" t="str">
        <v>Март</v>
      </c>
      <c r="D28">
        <f>H27</f>
        <v>217392.12557644045</v>
      </c>
      <c r="E28">
        <v>6536.606911171914</v>
      </c>
      <c r="F28">
        <v>0</v>
      </c>
      <c r="G28">
        <f>D28*0.00797414</f>
        <v>1733.5153374844178</v>
      </c>
      <c r="H28">
        <f>SUM(D28:G28)</f>
        <v>225662.2478250968</v>
      </c>
    </row>
    <row r="29">
      <c r="A29">
        <v>28</v>
      </c>
      <c r="B29">
        <v>2027</v>
      </c>
      <c r="C29" t="str">
        <v>Апр</v>
      </c>
      <c r="D29">
        <f>H28</f>
        <v>225662.2478250968</v>
      </c>
      <c r="E29">
        <v>6558.177713978782</v>
      </c>
      <c r="F29">
        <v>0</v>
      </c>
      <c r="G29">
        <f>D29*0.00797414</f>
        <v>1799.462453659405</v>
      </c>
      <c r="H29">
        <f>SUM(D29:G29)</f>
        <v>234019.88799273496</v>
      </c>
    </row>
    <row r="30">
      <c r="A30">
        <v>29</v>
      </c>
      <c r="B30">
        <v>2027</v>
      </c>
      <c r="C30" t="str">
        <v>Май</v>
      </c>
      <c r="D30">
        <f>H29</f>
        <v>234019.88799273496</v>
      </c>
      <c r="E30">
        <v>6579.819700434913</v>
      </c>
      <c r="F30">
        <v>0</v>
      </c>
      <c r="G30">
        <f>D30*0.00797414</f>
        <v>1866.1074500103985</v>
      </c>
      <c r="H30">
        <f>SUM(D30:G30)</f>
        <v>242465.81514318028</v>
      </c>
    </row>
    <row r="31">
      <c r="A31">
        <v>30</v>
      </c>
      <c r="B31">
        <v>2027</v>
      </c>
      <c r="C31" t="str">
        <v>Июнь</v>
      </c>
      <c r="D31">
        <f>H30</f>
        <v>242465.81514318028</v>
      </c>
      <c r="E31">
        <v>6601.533105446348</v>
      </c>
      <c r="F31">
        <v>0</v>
      </c>
      <c r="G31">
        <f>D31*0.00797414</f>
        <v>1933.4564591603405</v>
      </c>
      <c r="H31">
        <f>SUM(D31:G31)</f>
        <v>251000.80470778697</v>
      </c>
    </row>
    <row r="32">
      <c r="A32">
        <v>31</v>
      </c>
      <c r="B32">
        <v>2027</v>
      </c>
      <c r="C32" t="str">
        <v>Июль</v>
      </c>
      <c r="D32">
        <f>H31</f>
        <v>251000.80470778697</v>
      </c>
      <c r="E32">
        <v>6623.318164694322</v>
      </c>
      <c r="F32">
        <v>0</v>
      </c>
      <c r="G32">
        <f>D32*0.00797414</f>
        <v>2001.5156645077423</v>
      </c>
      <c r="H32">
        <f>SUM(D32:G32)</f>
        <v>259625.63853698905</v>
      </c>
    </row>
    <row r="33">
      <c r="A33">
        <v>32</v>
      </c>
      <c r="B33">
        <v>2027</v>
      </c>
      <c r="C33" t="str">
        <v>Авг</v>
      </c>
      <c r="D33">
        <f>H32</f>
        <v>259625.63853698905</v>
      </c>
      <c r="E33">
        <v>6645.175114637814</v>
      </c>
      <c r="F33">
        <v>36000</v>
      </c>
      <c r="G33">
        <f>D33*0.00797414</f>
        <v>2070.2913006377594</v>
      </c>
      <c r="H33">
        <f>SUM(D33:G33)</f>
        <v>304341.10495226464</v>
      </c>
    </row>
    <row r="34">
      <c r="A34">
        <v>33</v>
      </c>
      <c r="B34">
        <v>2027</v>
      </c>
      <c r="C34" t="str">
        <v>Сен</v>
      </c>
      <c r="D34">
        <f>H33</f>
        <v>304341.10495226464</v>
      </c>
      <c r="E34">
        <v>6667.104192516119</v>
      </c>
      <c r="F34">
        <v>0</v>
      </c>
      <c r="G34">
        <f>D34*0.00797414</f>
        <v>2426.858709177097</v>
      </c>
      <c r="H34">
        <f>SUM(D34:G34)</f>
        <v>313435.0678539579</v>
      </c>
    </row>
    <row r="35">
      <c r="A35">
        <v>34</v>
      </c>
      <c r="B35">
        <v>2027</v>
      </c>
      <c r="C35" t="str">
        <v>Окт</v>
      </c>
      <c r="D35">
        <f>H34</f>
        <v>313435.0678539579</v>
      </c>
      <c r="E35">
        <v>6689.105636351423</v>
      </c>
      <c r="F35">
        <v>0</v>
      </c>
      <c r="G35">
        <f>D35*0.00797414</f>
        <v>2499.37524641044</v>
      </c>
      <c r="H35">
        <f>SUM(D35:G35)</f>
        <v>322623.54873671976</v>
      </c>
    </row>
    <row r="36">
      <c r="A36">
        <v>35</v>
      </c>
      <c r="B36">
        <v>2027</v>
      </c>
      <c r="C36" t="str">
        <v>Ноя</v>
      </c>
      <c r="D36">
        <f>H35</f>
        <v>322623.54873671976</v>
      </c>
      <c r="E36">
        <v>6711.179684951382</v>
      </c>
      <c r="F36">
        <v>0</v>
      </c>
      <c r="G36">
        <f>D36*0.00797414</f>
        <v>2572.645483297881</v>
      </c>
      <c r="H36">
        <f>SUM(D36:G36)</f>
        <v>331907.373904969</v>
      </c>
    </row>
    <row r="37">
      <c r="A37">
        <v>36</v>
      </c>
      <c r="B37">
        <v>2027</v>
      </c>
      <c r="C37" t="str">
        <v>Дек</v>
      </c>
      <c r="D37">
        <f>H36</f>
        <v>331907.373904969</v>
      </c>
      <c r="E37">
        <v>6733.326577911724</v>
      </c>
      <c r="F37">
        <v>0</v>
      </c>
      <c r="G37">
        <f>D37*0.00797414</f>
        <v>2646.6760089068916</v>
      </c>
      <c r="H37">
        <f>SUM(D37:G37)</f>
        <v>341287.37649178767</v>
      </c>
    </row>
    <row r="38">
      <c r="A38">
        <v>37</v>
      </c>
      <c r="B38">
        <v>2028</v>
      </c>
      <c r="C38" t="str">
        <v>Янв</v>
      </c>
      <c r="D38">
        <f>H37</f>
        <v>341287.37649178767</v>
      </c>
      <c r="E38">
        <v>6755.546555618832</v>
      </c>
      <c r="F38">
        <v>0</v>
      </c>
      <c r="G38">
        <f>D38*0.00797414</f>
        <v>2721.473466757664</v>
      </c>
      <c r="H38">
        <f>SUM(D38:G38)</f>
        <v>350764.39651416417</v>
      </c>
    </row>
    <row r="39">
      <c r="A39">
        <v>38</v>
      </c>
      <c r="B39">
        <v>2028</v>
      </c>
      <c r="C39" t="str">
        <v>Фев</v>
      </c>
      <c r="D39">
        <f>H38</f>
        <v>350764.39651416417</v>
      </c>
      <c r="E39">
        <v>6777.8398592523745</v>
      </c>
      <c r="F39">
        <v>0</v>
      </c>
      <c r="G39">
        <f>D39*0.00797414</f>
        <v>2797.044555263627</v>
      </c>
      <c r="H39">
        <f>SUM(D39:G39)</f>
        <v>360339.2809286802</v>
      </c>
    </row>
    <row r="40">
      <c r="A40">
        <v>39</v>
      </c>
      <c r="B40">
        <v>2028</v>
      </c>
      <c r="C40" t="str">
        <v>Март</v>
      </c>
      <c r="D40">
        <f>H39</f>
        <v>360339.2809286802</v>
      </c>
      <c r="E40">
        <v>6800.206730787908</v>
      </c>
      <c r="F40">
        <v>0</v>
      </c>
      <c r="G40">
        <f>D40*0.00797414</f>
        <v>2873.3960281755</v>
      </c>
      <c r="H40">
        <f>SUM(D40:G40)</f>
        <v>370012.8836876436</v>
      </c>
    </row>
    <row r="41">
      <c r="A41">
        <v>40</v>
      </c>
      <c r="B41">
        <v>2028</v>
      </c>
      <c r="C41" t="str">
        <v>Апр</v>
      </c>
      <c r="D41">
        <f>H40</f>
        <v>370012.8836876436</v>
      </c>
      <c r="E41">
        <v>6822.6474129995095</v>
      </c>
      <c r="F41">
        <v>0</v>
      </c>
      <c r="G41">
        <f>D41*0.00797414</f>
        <v>2950.5346950289054</v>
      </c>
      <c r="H41">
        <f>SUM(D41:G41)</f>
        <v>379786.06579567207</v>
      </c>
    </row>
    <row r="42">
      <c r="A42">
        <v>41</v>
      </c>
      <c r="B42">
        <v>2028</v>
      </c>
      <c r="C42" t="str">
        <v>Май</v>
      </c>
      <c r="D42">
        <f>H41</f>
        <v>379786.06579567207</v>
      </c>
      <c r="E42">
        <v>6845.162149462408</v>
      </c>
      <c r="F42">
        <v>0</v>
      </c>
      <c r="G42">
        <f>D42*0.00797414</f>
        <v>3028.467421595574</v>
      </c>
      <c r="H42">
        <f>SUM(D42:G42)</f>
        <v>389659.69536673004</v>
      </c>
    </row>
    <row r="43">
      <c r="A43">
        <v>42</v>
      </c>
      <c r="B43">
        <v>2028</v>
      </c>
      <c r="C43" t="str">
        <v>Июнь</v>
      </c>
      <c r="D43">
        <f>H42</f>
        <v>389659.69536673004</v>
      </c>
      <c r="E43">
        <v>6867.751184555634</v>
      </c>
      <c r="F43">
        <v>0</v>
      </c>
      <c r="G43">
        <f>D43*0.00797414</f>
        <v>3107.201130338167</v>
      </c>
      <c r="H43">
        <f>SUM(D43:G43)</f>
        <v>399634.6476816239</v>
      </c>
    </row>
    <row r="44">
      <c r="A44">
        <v>43</v>
      </c>
      <c r="B44">
        <v>2028</v>
      </c>
      <c r="C44" t="str">
        <v>Июль</v>
      </c>
      <c r="D44">
        <f>H43</f>
        <v>399634.6476816239</v>
      </c>
      <c r="E44">
        <v>6890.414763464669</v>
      </c>
      <c r="F44">
        <v>0</v>
      </c>
      <c r="G44">
        <f>D44*0.00797414</f>
        <v>3186.742800868749</v>
      </c>
      <c r="H44">
        <f>SUM(D44:G44)</f>
        <v>409711.8052459573</v>
      </c>
    </row>
    <row r="45">
      <c r="A45">
        <v>44</v>
      </c>
      <c r="B45">
        <v>2028</v>
      </c>
      <c r="C45" t="str">
        <v>Авг</v>
      </c>
      <c r="D45">
        <f>H44</f>
        <v>409711.8052459573</v>
      </c>
      <c r="E45">
        <v>6913.153132184102</v>
      </c>
      <c r="F45">
        <v>36000</v>
      </c>
      <c r="G45">
        <f>D45*0.00797414</f>
        <v>3267.0994704109335</v>
      </c>
      <c r="H45">
        <f>SUM(D45:G45)</f>
        <v>455892.05784855236</v>
      </c>
    </row>
    <row r="46">
      <c r="A46">
        <v>45</v>
      </c>
      <c r="B46">
        <v>2028</v>
      </c>
      <c r="C46" t="str">
        <v>Сен</v>
      </c>
      <c r="D46">
        <f>H45</f>
        <v>455892.05784855236</v>
      </c>
      <c r="E46">
        <v>6935.966537520311</v>
      </c>
      <c r="F46">
        <v>0</v>
      </c>
      <c r="G46">
        <f>D46*0.00797414</f>
        <v>3635.347289706275</v>
      </c>
      <c r="H46">
        <f>SUM(D46:G46)</f>
        <v>466463.37167577894</v>
      </c>
    </row>
    <row r="47">
      <c r="A47">
        <v>46</v>
      </c>
      <c r="B47">
        <v>2028</v>
      </c>
      <c r="C47" t="str">
        <v>Окт</v>
      </c>
      <c r="D47">
        <f>H46</f>
        <v>466463.37167577894</v>
      </c>
      <c r="E47">
        <v>6958.855227094128</v>
      </c>
      <c r="F47">
        <v>0</v>
      </c>
      <c r="G47">
        <f>D47*0.00797414</f>
        <v>3719.644430682592</v>
      </c>
      <c r="H47">
        <f>SUM(D47:G47)</f>
        <v>477141.87133355567</v>
      </c>
    </row>
    <row r="48">
      <c r="A48">
        <v>47</v>
      </c>
      <c r="B48">
        <v>2028</v>
      </c>
      <c r="C48" t="str">
        <v>Ноя</v>
      </c>
      <c r="D48">
        <f>H47</f>
        <v>477141.87133355567</v>
      </c>
      <c r="E48">
        <v>6981.819449343539</v>
      </c>
      <c r="F48">
        <v>0</v>
      </c>
      <c r="G48">
        <f>D48*0.00797414</f>
        <v>3804.796286523704</v>
      </c>
      <c r="H48">
        <f>SUM(D48:G48)</f>
        <v>487928.4870694229</v>
      </c>
    </row>
    <row r="49">
      <c r="A49">
        <v>48</v>
      </c>
      <c r="B49">
        <v>2028</v>
      </c>
      <c r="C49" t="str">
        <v>Дек</v>
      </c>
      <c r="D49">
        <f>H48</f>
        <v>487928.4870694229</v>
      </c>
      <c r="E49">
        <v>7004.859453526374</v>
      </c>
      <c r="F49">
        <v>0</v>
      </c>
      <c r="G49">
        <f>D49*0.00797414</f>
        <v>3890.810275154133</v>
      </c>
      <c r="H49">
        <f>SUM(D49:G49)</f>
        <v>498824.1567981034</v>
      </c>
    </row>
    <row r="50">
      <c r="A50">
        <v>49</v>
      </c>
      <c r="B50">
        <v>2029</v>
      </c>
      <c r="C50" t="str">
        <v>Янв</v>
      </c>
      <c r="D50">
        <f>H49</f>
        <v>498824.1567981034</v>
      </c>
      <c r="E50">
        <v>7027.9754897230105</v>
      </c>
      <c r="F50">
        <v>0</v>
      </c>
      <c r="G50">
        <f>D50*0.00797414</f>
        <v>3977.693875637587</v>
      </c>
      <c r="H50">
        <f>SUM(D50:G50)</f>
        <v>509829.82616346405</v>
      </c>
    </row>
    <row r="51">
      <c r="A51">
        <v>50</v>
      </c>
      <c r="B51">
        <v>2029</v>
      </c>
      <c r="C51" t="str">
        <v>Фев</v>
      </c>
      <c r="D51">
        <f>H50</f>
        <v>509829.82616346405</v>
      </c>
      <c r="E51">
        <v>7051.167808839098</v>
      </c>
      <c r="F51">
        <v>0</v>
      </c>
      <c r="G51">
        <f>D51*0.00797414</f>
        <v>4065.454628671057</v>
      </c>
      <c r="H51">
        <f>SUM(D51:G51)</f>
        <v>520946.4486009742</v>
      </c>
    </row>
    <row r="52">
      <c r="A52">
        <v>51</v>
      </c>
      <c r="B52">
        <v>2029</v>
      </c>
      <c r="C52" t="str">
        <v>Март</v>
      </c>
      <c r="D52">
        <f>H51</f>
        <v>520946.4486009742</v>
      </c>
      <c r="E52">
        <v>7074.4366626082665</v>
      </c>
      <c r="F52">
        <v>0</v>
      </c>
      <c r="G52">
        <f>D52*0.00797414</f>
        <v>4154.100137082865</v>
      </c>
      <c r="H52">
        <f>SUM(D52:G52)</f>
        <v>532174.9854006654</v>
      </c>
    </row>
    <row r="53">
      <c r="A53">
        <v>52</v>
      </c>
      <c r="B53">
        <v>2029</v>
      </c>
      <c r="C53" t="str">
        <v>Апр</v>
      </c>
      <c r="D53">
        <f>H52</f>
        <v>532174.9854006654</v>
      </c>
      <c r="E53">
        <v>7097.782303594875</v>
      </c>
      <c r="F53">
        <v>0</v>
      </c>
      <c r="G53">
        <f>D53*0.00797414</f>
        <v>4243.638066334717</v>
      </c>
      <c r="H53">
        <f>SUM(D53:G53)</f>
        <v>543516.4057705951</v>
      </c>
    </row>
    <row r="54">
      <c r="A54">
        <v>53</v>
      </c>
      <c r="B54">
        <v>2029</v>
      </c>
      <c r="C54" t="str">
        <v>Май</v>
      </c>
      <c r="D54">
        <f>H53</f>
        <v>543516.4057705951</v>
      </c>
      <c r="E54">
        <v>7121.204985196739</v>
      </c>
      <c r="F54">
        <v>0</v>
      </c>
      <c r="G54">
        <f>D54*0.00797414</f>
        <v>4334.076145027765</v>
      </c>
      <c r="H54">
        <f>SUM(D54:G54)</f>
        <v>554971.6869008195</v>
      </c>
    </row>
    <row r="55">
      <c r="A55">
        <v>54</v>
      </c>
      <c r="B55">
        <v>2029</v>
      </c>
      <c r="C55" t="str">
        <v>Июнь</v>
      </c>
      <c r="D55">
        <f>H54</f>
        <v>554971.6869008195</v>
      </c>
      <c r="E55">
        <v>7144.704961647888</v>
      </c>
      <c r="F55">
        <v>0</v>
      </c>
      <c r="G55">
        <f>D55*0.00797414</f>
        <v>4425.422165412747</v>
      </c>
      <c r="H55">
        <f>SUM(D55:G55)</f>
        <v>566541.8140278802</v>
      </c>
    </row>
    <row r="56">
      <c r="A56">
        <v>55</v>
      </c>
      <c r="B56">
        <v>2029</v>
      </c>
      <c r="C56" t="str">
        <v>Июль</v>
      </c>
      <c r="D56">
        <f>H55</f>
        <v>566541.8140278802</v>
      </c>
      <c r="E56">
        <v>7168.2824880213275</v>
      </c>
      <c r="F56">
        <v>0</v>
      </c>
      <c r="G56">
        <f>D56*0.00797414</f>
        <v>4517.683983904198</v>
      </c>
      <c r="H56">
        <f>SUM(D56:G56)</f>
        <v>578227.7804998057</v>
      </c>
    </row>
    <row r="57">
      <c r="A57">
        <v>56</v>
      </c>
      <c r="B57">
        <v>2029</v>
      </c>
      <c r="C57" t="str">
        <v>Авг</v>
      </c>
      <c r="D57">
        <f>H56</f>
        <v>578227.7804998057</v>
      </c>
      <c r="E57">
        <v>7191.9378202317985</v>
      </c>
      <c r="F57">
        <v>36000</v>
      </c>
      <c r="G57">
        <f>D57*0.00797414</f>
        <v>4610.869521598792</v>
      </c>
      <c r="H57">
        <f>SUM(D57:G57)</f>
        <v>626030.5878416363</v>
      </c>
    </row>
    <row r="58">
      <c r="A58">
        <v>57</v>
      </c>
      <c r="B58">
        <v>2029</v>
      </c>
      <c r="C58" t="str">
        <v>Сен</v>
      </c>
      <c r="D58">
        <f>H57</f>
        <v>626030.5878416363</v>
      </c>
      <c r="E58">
        <v>7215.671215038564</v>
      </c>
      <c r="F58">
        <v>0</v>
      </c>
      <c r="G58">
        <f>D58*0.00797414</f>
        <v>4992.055820238381</v>
      </c>
      <c r="H58">
        <f>SUM(D58:G58)</f>
        <v>638238.3148769132</v>
      </c>
    </row>
    <row r="59">
      <c r="A59">
        <v>58</v>
      </c>
      <c r="B59">
        <v>2029</v>
      </c>
      <c r="C59" t="str">
        <v>Окт</v>
      </c>
      <c r="D59">
        <f>H58</f>
        <v>638238.3148769132</v>
      </c>
      <c r="E59">
        <v>7239.482930048192</v>
      </c>
      <c r="F59">
        <v>0</v>
      </c>
      <c r="G59">
        <f>D59*0.00797414</f>
        <v>5089.401949935404</v>
      </c>
      <c r="H59">
        <f>SUM(D59:G59)</f>
        <v>650567.1997568967</v>
      </c>
    </row>
    <row r="60">
      <c r="A60">
        <v>59</v>
      </c>
      <c r="B60">
        <v>2029</v>
      </c>
      <c r="C60" t="str">
        <v>Ноя</v>
      </c>
      <c r="D60">
        <f>H59</f>
        <v>650567.1997568967</v>
      </c>
      <c r="E60">
        <v>7263.373223717351</v>
      </c>
      <c r="F60">
        <v>0</v>
      </c>
      <c r="G60">
        <f>D60*0.00797414</f>
        <v>5187.714209300181</v>
      </c>
      <c r="H60">
        <f>SUM(D60:G60)</f>
        <v>663018.2871899143</v>
      </c>
    </row>
    <row r="61">
      <c r="A61">
        <v>60</v>
      </c>
      <c r="B61">
        <v>2029</v>
      </c>
      <c r="C61" t="str">
        <v>Дек</v>
      </c>
      <c r="D61">
        <f>H60</f>
        <v>663018.2871899143</v>
      </c>
      <c r="E61">
        <v>7287.342355355619</v>
      </c>
      <c r="F61">
        <v>0</v>
      </c>
      <c r="G61">
        <f>D61*0.00797414</f>
        <v>5287.000928983622</v>
      </c>
      <c r="H61">
        <f>SUM(D61:G61)</f>
        <v>675592.6304742536</v>
      </c>
    </row>
    <row r="62">
      <c r="A62">
        <v>61</v>
      </c>
      <c r="B62">
        <v>2030</v>
      </c>
      <c r="C62" t="str">
        <v>Янв</v>
      </c>
      <c r="D62">
        <f>H61</f>
        <v>675592.6304742536</v>
      </c>
      <c r="E62">
        <v>7311.390585128293</v>
      </c>
      <c r="F62">
        <v>0</v>
      </c>
      <c r="G62">
        <f>D62*0.00797414</f>
        <v>5387.2705081341865</v>
      </c>
      <c r="H62">
        <f>SUM(D62:G62)</f>
        <v>688291.291567516</v>
      </c>
    </row>
    <row r="63">
      <c r="A63">
        <v>62</v>
      </c>
      <c r="B63">
        <v>2030</v>
      </c>
      <c r="C63" t="str">
        <v>Фев</v>
      </c>
      <c r="D63">
        <f>H62</f>
        <v>688291.291567516</v>
      </c>
      <c r="E63">
        <v>7335.518174059216</v>
      </c>
      <c r="F63">
        <v>0</v>
      </c>
      <c r="G63">
        <f>D63*0.00797414</f>
        <v>5488.531414950919</v>
      </c>
      <c r="H63">
        <f>SUM(D63:G63)</f>
        <v>701115.3411565262</v>
      </c>
    </row>
    <row r="64">
      <c r="A64">
        <v>63</v>
      </c>
      <c r="B64">
        <v>2030</v>
      </c>
      <c r="C64" t="str">
        <v>Март</v>
      </c>
      <c r="D64">
        <f>H63</f>
        <v>701115.3411565262</v>
      </c>
      <c r="E64">
        <v>7359.7253840336125</v>
      </c>
      <c r="F64">
        <v>0</v>
      </c>
      <c r="G64">
        <f>D64*0.00797414</f>
        <v>5590.7921872409115</v>
      </c>
      <c r="H64">
        <f>SUM(D64:G64)</f>
        <v>714065.8587278008</v>
      </c>
    </row>
    <row r="65">
      <c r="A65">
        <v>64</v>
      </c>
      <c r="B65">
        <v>2030</v>
      </c>
      <c r="C65" t="str">
        <v>Апр</v>
      </c>
      <c r="D65">
        <f>H64</f>
        <v>714065.8587278008</v>
      </c>
      <c r="E65">
        <v>7384.012477800924</v>
      </c>
      <c r="F65">
        <v>0</v>
      </c>
      <c r="G65">
        <f>D65*0.00797414</f>
        <v>5694.06143298124</v>
      </c>
      <c r="H65">
        <f>SUM(D65:G65)</f>
        <v>727143.932638583</v>
      </c>
    </row>
    <row r="66">
      <c r="A66">
        <v>65</v>
      </c>
      <c r="B66">
        <v>2030</v>
      </c>
      <c r="C66" t="str">
        <v>Май</v>
      </c>
      <c r="D66">
        <f>H65</f>
        <v>727143.932638583</v>
      </c>
      <c r="E66">
        <v>7408.379718977669</v>
      </c>
      <c r="F66">
        <v>0</v>
      </c>
      <c r="G66">
        <f>D66*0.00797414</f>
        <v>5798.3478308854</v>
      </c>
      <c r="H66">
        <f>SUM(D66:G66)</f>
        <v>740350.6601884462</v>
      </c>
    </row>
    <row r="67">
      <c r="A67">
        <v>66</v>
      </c>
      <c r="B67">
        <v>2030</v>
      </c>
      <c r="C67" t="str">
        <v>Июнь</v>
      </c>
      <c r="D67">
        <f>H66</f>
        <v>740350.6601884462</v>
      </c>
      <c r="E67">
        <v>7432.827372050295</v>
      </c>
      <c r="F67">
        <v>0</v>
      </c>
      <c r="G67">
        <f>D67*0.00797414</f>
        <v>5903.660130974281</v>
      </c>
      <c r="H67">
        <f>SUM(D67:G67)</f>
        <v>753687.1476914707</v>
      </c>
    </row>
    <row r="68">
      <c r="A68">
        <v>67</v>
      </c>
      <c r="B68">
        <v>2030</v>
      </c>
      <c r="C68" t="str">
        <v>Июль</v>
      </c>
      <c r="D68">
        <f>H67</f>
        <v>753687.1476914707</v>
      </c>
      <c r="E68">
        <v>7457.355702378062</v>
      </c>
      <c r="F68">
        <v>0</v>
      </c>
      <c r="G68">
        <f>D68*0.00797414</f>
        <v>6010.0071551517185</v>
      </c>
      <c r="H68">
        <f>SUM(D68:G68)</f>
        <v>767154.5105490005</v>
      </c>
    </row>
    <row r="69">
      <c r="A69">
        <v>68</v>
      </c>
      <c r="B69">
        <v>2030</v>
      </c>
      <c r="C69" t="str">
        <v>Авг</v>
      </c>
      <c r="D69">
        <f>H68</f>
        <v>767154.5105490005</v>
      </c>
      <c r="E69">
        <v>7481.964976195911</v>
      </c>
      <c r="F69">
        <v>36000</v>
      </c>
      <c r="G69">
        <f>D69*0.00797414</f>
        <v>6117.397797784664</v>
      </c>
      <c r="H69">
        <f>SUM(D69:G69)</f>
        <v>816753.8733229811</v>
      </c>
    </row>
    <row r="70">
      <c r="A70">
        <v>69</v>
      </c>
      <c r="B70">
        <v>2030</v>
      </c>
      <c r="C70" t="str">
        <v>Сен</v>
      </c>
      <c r="D70">
        <f>H69</f>
        <v>816753.8733229811</v>
      </c>
      <c r="E70">
        <v>7506.655460617357</v>
      </c>
      <c r="F70">
        <v>0</v>
      </c>
      <c r="G70">
        <f>D70*0.00797414</f>
        <v>6512.910081728527</v>
      </c>
      <c r="H70">
        <f>SUM(D70:G70)</f>
        <v>830773.4388653269</v>
      </c>
    </row>
    <row r="71">
      <c r="A71">
        <v>70</v>
      </c>
      <c r="B71">
        <v>2030</v>
      </c>
      <c r="C71" t="str">
        <v>Окт</v>
      </c>
      <c r="D71">
        <f>H70</f>
        <v>830773.4388653269</v>
      </c>
      <c r="E71">
        <v>7531.427423637395</v>
      </c>
      <c r="F71">
        <v>0</v>
      </c>
      <c r="G71">
        <f>D71*0.00797414</f>
        <v>6624.704066115413</v>
      </c>
      <c r="H71">
        <f>SUM(D71:G71)</f>
        <v>844929.5703550797</v>
      </c>
    </row>
    <row r="72">
      <c r="A72">
        <v>71</v>
      </c>
      <c r="B72">
        <v>2030</v>
      </c>
      <c r="C72" t="str">
        <v>Ноя</v>
      </c>
      <c r="D72">
        <f>H71</f>
        <v>844929.5703550797</v>
      </c>
      <c r="E72">
        <v>7556.281134135399</v>
      </c>
      <c r="F72">
        <v>0</v>
      </c>
      <c r="G72">
        <f>D72*0.00797414</f>
        <v>6737.587046544729</v>
      </c>
      <c r="H72">
        <f>SUM(D72:G72)</f>
        <v>859223.4385357599</v>
      </c>
    </row>
    <row r="73">
      <c r="A73">
        <v>72</v>
      </c>
      <c r="B73">
        <v>2030</v>
      </c>
      <c r="C73" t="str">
        <v>Дек</v>
      </c>
      <c r="D73">
        <f>H72</f>
        <v>859223.4385357599</v>
      </c>
      <c r="E73">
        <v>7581.216861878046</v>
      </c>
      <c r="F73">
        <v>0</v>
      </c>
      <c r="G73">
        <f>D73*0.00797414</f>
        <v>6851.568358689712</v>
      </c>
      <c r="H73">
        <f>SUM(D73:G73)</f>
        <v>873656.2237563276</v>
      </c>
    </row>
    <row r="74">
      <c r="A74">
        <v>73</v>
      </c>
      <c r="B74">
        <v>2031</v>
      </c>
      <c r="C74" t="str">
        <v>Янв</v>
      </c>
      <c r="D74">
        <f>H73</f>
        <v>873656.2237563276</v>
      </c>
      <c r="E74">
        <v>7606.234877522244</v>
      </c>
      <c r="F74">
        <v>0</v>
      </c>
      <c r="G74">
        <f>D74*0.00797414</f>
        <v>6966.657414818726</v>
      </c>
      <c r="H74">
        <f>SUM(D74:G74)</f>
        <v>888229.1160486686</v>
      </c>
    </row>
    <row r="75">
      <c r="A75">
        <v>74</v>
      </c>
      <c r="B75">
        <v>2031</v>
      </c>
      <c r="C75" t="str">
        <v>Фев</v>
      </c>
      <c r="D75">
        <f>H74</f>
        <v>888229.1160486686</v>
      </c>
      <c r="E75">
        <v>7631.335452618069</v>
      </c>
      <c r="F75">
        <v>0</v>
      </c>
      <c r="G75">
        <f>D75*0.00797414</f>
        <v>7082.863704413142</v>
      </c>
      <c r="H75">
        <f>SUM(D75:G75)</f>
        <v>902943.3152056999</v>
      </c>
    </row>
    <row r="76">
      <c r="A76">
        <v>75</v>
      </c>
      <c r="B76">
        <v>2031</v>
      </c>
      <c r="C76" t="str">
        <v>Март</v>
      </c>
      <c r="D76">
        <f>H75</f>
        <v>902943.3152056999</v>
      </c>
      <c r="E76">
        <v>7656.518859611709</v>
      </c>
      <c r="F76">
        <v>0</v>
      </c>
      <c r="G76">
        <f>D76*0.00797414</f>
        <v>7200.196794790167</v>
      </c>
      <c r="H76">
        <f>SUM(D76:G76)</f>
        <v>917800.0308601018</v>
      </c>
    </row>
    <row r="77">
      <c r="A77">
        <v>76</v>
      </c>
      <c r="B77">
        <v>2031</v>
      </c>
      <c r="C77" t="str">
        <v>Апр</v>
      </c>
      <c r="D77">
        <f>H76</f>
        <v>917800.0308601018</v>
      </c>
      <c r="E77">
        <v>7681.785371848428</v>
      </c>
      <c r="F77">
        <v>0</v>
      </c>
      <c r="G77">
        <f>D77*0.00797414</f>
        <v>7318.66633173066</v>
      </c>
      <c r="H77">
        <f>SUM(D77:G77)</f>
        <v>932800.4825636809</v>
      </c>
    </row>
    <row r="78">
      <c r="A78">
        <v>77</v>
      </c>
      <c r="B78">
        <v>2031</v>
      </c>
      <c r="C78" t="str">
        <v>Май</v>
      </c>
      <c r="D78">
        <f>H77</f>
        <v>932800.4825636809</v>
      </c>
      <c r="E78">
        <v>7707.135263575528</v>
      </c>
      <c r="F78">
        <v>0</v>
      </c>
      <c r="G78">
        <f>D78*0.00797414</f>
        <v>7438.282040111988</v>
      </c>
      <c r="H78">
        <f>SUM(D78:G78)</f>
        <v>947945.8998673683</v>
      </c>
    </row>
    <row r="79">
      <c r="A79">
        <v>78</v>
      </c>
      <c r="B79">
        <v>2031</v>
      </c>
      <c r="C79" t="str">
        <v>Июнь</v>
      </c>
      <c r="D79">
        <f>H78</f>
        <v>947945.8998673683</v>
      </c>
      <c r="E79">
        <v>7732.568809945329</v>
      </c>
      <c r="F79">
        <v>0</v>
      </c>
      <c r="G79">
        <f>D79*0.00797414</f>
        <v>7559.053724545941</v>
      </c>
      <c r="H79">
        <f>SUM(D79:G79)</f>
        <v>963237.5224018596</v>
      </c>
    </row>
    <row r="80">
      <c r="A80">
        <v>79</v>
      </c>
      <c r="B80">
        <v>2031</v>
      </c>
      <c r="C80" t="str">
        <v>Июль</v>
      </c>
      <c r="D80">
        <f>H79</f>
        <v>963237.5224018596</v>
      </c>
      <c r="E80">
        <v>7758.086287018149</v>
      </c>
      <c r="F80">
        <v>0</v>
      </c>
      <c r="G80">
        <f>D80*0.00797414</f>
        <v>7680.991270021765</v>
      </c>
      <c r="H80">
        <f>SUM(D80:G80)</f>
        <v>978676.5999588995</v>
      </c>
    </row>
    <row r="81">
      <c r="A81">
        <v>80</v>
      </c>
      <c r="B81">
        <v>2031</v>
      </c>
      <c r="C81" t="str">
        <v>Авг</v>
      </c>
      <c r="D81">
        <f>H80</f>
        <v>978676.5999588995</v>
      </c>
      <c r="E81">
        <v>7783.687971765309</v>
      </c>
      <c r="F81">
        <v>36000</v>
      </c>
      <c r="G81">
        <f>D81*0.00797414</f>
        <v>7804.104642554337</v>
      </c>
      <c r="H81">
        <f>SUM(D81:G81)</f>
        <v>1030264.3925732191</v>
      </c>
    </row>
    <row r="82">
      <c r="A82">
        <v>81</v>
      </c>
      <c r="B82">
        <v>2031</v>
      </c>
      <c r="C82" t="str">
        <v>Сен</v>
      </c>
      <c r="D82">
        <f>H81</f>
        <v>1030264.3925732191</v>
      </c>
      <c r="E82">
        <v>7809.374142072135</v>
      </c>
      <c r="F82">
        <v>0</v>
      </c>
      <c r="G82">
        <f>D82*0.00797414</f>
        <v>8215.472945278087</v>
      </c>
      <c r="H82">
        <f>SUM(D82:G82)</f>
        <v>1046289.2396605694</v>
      </c>
    </row>
    <row r="83">
      <c r="A83">
        <v>82</v>
      </c>
      <c r="B83">
        <v>2031</v>
      </c>
      <c r="C83" t="str">
        <v>Окт</v>
      </c>
      <c r="D83">
        <f>H82</f>
        <v>1046289.2396605694</v>
      </c>
      <c r="E83">
        <v>7835.145076740974</v>
      </c>
      <c r="F83">
        <v>0</v>
      </c>
      <c r="G83">
        <f>D83*0.00797414</f>
        <v>8343.257326304325</v>
      </c>
      <c r="H83">
        <f>SUM(D83:G83)</f>
        <v>1062467.6420636147</v>
      </c>
    </row>
    <row r="84">
      <c r="A84">
        <v>83</v>
      </c>
      <c r="B84">
        <v>2031</v>
      </c>
      <c r="C84" t="str">
        <v>Ноя</v>
      </c>
      <c r="D84">
        <f>H83</f>
        <v>1062467.6420636147</v>
      </c>
      <c r="E84">
        <v>7861.00105549422</v>
      </c>
      <c r="F84">
        <v>0</v>
      </c>
      <c r="G84">
        <f>D84*0.00797414</f>
        <v>8472.266178981523</v>
      </c>
      <c r="H84">
        <f>SUM(D84:G84)</f>
        <v>1078800.9092980905</v>
      </c>
    </row>
    <row r="85">
      <c r="A85">
        <v>84</v>
      </c>
      <c r="B85">
        <v>2031</v>
      </c>
      <c r="C85" t="str">
        <v>Дек</v>
      </c>
      <c r="D85">
        <f>H84</f>
        <v>1078800.9092980905</v>
      </c>
      <c r="E85">
        <v>7886.942358977351</v>
      </c>
      <c r="F85">
        <v>0</v>
      </c>
      <c r="G85">
        <f>D85*0.00797414</f>
        <v>8602.509945572046</v>
      </c>
      <c r="H85">
        <f>SUM(D85:G85)</f>
        <v>1095290.36160264</v>
      </c>
    </row>
    <row r="86">
      <c r="A86">
        <v>85</v>
      </c>
      <c r="B86">
        <v>2032</v>
      </c>
      <c r="C86" t="str">
        <v>Янв</v>
      </c>
      <c r="D86">
        <f>H85</f>
        <v>1095290.36160264</v>
      </c>
      <c r="E86">
        <v>7912.969268761977</v>
      </c>
      <c r="F86">
        <v>0</v>
      </c>
      <c r="G86">
        <f>D86*0.00797414</f>
        <v>8733.999153844235</v>
      </c>
      <c r="H86">
        <f>SUM(D86:G86)</f>
        <v>1111937.3300252464</v>
      </c>
    </row>
    <row r="87">
      <c r="A87">
        <v>86</v>
      </c>
      <c r="B87">
        <v>2032</v>
      </c>
      <c r="C87" t="str">
        <v>Фев</v>
      </c>
      <c r="D87">
        <f>H86</f>
        <v>1111937.3300252464</v>
      </c>
      <c r="E87">
        <v>7939.082067348892</v>
      </c>
      <c r="F87">
        <v>0</v>
      </c>
      <c r="G87">
        <f>D87*0.00797414</f>
        <v>8866.744417761625</v>
      </c>
      <c r="H87">
        <f>SUM(D87:G87)</f>
        <v>1128743.156510357</v>
      </c>
    </row>
    <row r="88">
      <c r="A88">
        <v>87</v>
      </c>
      <c r="B88">
        <v>2032</v>
      </c>
      <c r="C88" t="str">
        <v>Март</v>
      </c>
      <c r="D88">
        <f>H87</f>
        <v>1128743.156510357</v>
      </c>
      <c r="E88">
        <v>7965.281038171143</v>
      </c>
      <c r="F88">
        <v>0</v>
      </c>
      <c r="G88">
        <f>D88*0.00797414</f>
        <v>9000.756438177687</v>
      </c>
      <c r="H88">
        <f>SUM(D88:G88)</f>
        <v>1145709.193986706</v>
      </c>
    </row>
    <row r="89">
      <c r="A89">
        <v>88</v>
      </c>
      <c r="B89">
        <v>2032</v>
      </c>
      <c r="C89" t="str">
        <v>Апр</v>
      </c>
      <c r="D89">
        <f>H88</f>
        <v>1145709.193986706</v>
      </c>
      <c r="E89">
        <v>7991.5664655971095</v>
      </c>
      <c r="F89">
        <v>0</v>
      </c>
      <c r="G89">
        <f>D89*0.00797414</f>
        <v>9136.046003536138</v>
      </c>
      <c r="H89">
        <f>SUM(D89:G89)</f>
        <v>1162836.8064558392</v>
      </c>
    </row>
    <row r="90">
      <c r="A90">
        <v>89</v>
      </c>
      <c r="B90">
        <v>2032</v>
      </c>
      <c r="C90" t="str">
        <v>Май</v>
      </c>
      <c r="D90">
        <f>H89</f>
        <v>1162836.8064558392</v>
      </c>
      <c r="E90">
        <v>8017.938634933581</v>
      </c>
      <c r="F90">
        <v>0</v>
      </c>
      <c r="G90">
        <f>D90*0.00797414</f>
        <v>9272.623990576849</v>
      </c>
      <c r="H90">
        <f>SUM(D90:G90)</f>
        <v>1180127.3690813498</v>
      </c>
    </row>
    <row r="91">
      <c r="A91">
        <v>90</v>
      </c>
      <c r="B91">
        <v>2032</v>
      </c>
      <c r="C91" t="str">
        <v>Июнь</v>
      </c>
      <c r="D91">
        <f>H90</f>
        <v>1180127.3690813498</v>
      </c>
      <c r="E91">
        <v>8044.397832428863</v>
      </c>
      <c r="F91">
        <v>0</v>
      </c>
      <c r="G91">
        <f>D91*0.00797414</f>
        <v>9410.501365047427</v>
      </c>
      <c r="H91">
        <f>SUM(D91:G91)</f>
        <v>1197582.268278826</v>
      </c>
    </row>
    <row r="92">
      <c r="A92">
        <v>91</v>
      </c>
      <c r="B92">
        <v>2032</v>
      </c>
      <c r="C92" t="str">
        <v>Июль</v>
      </c>
      <c r="D92">
        <f>H91</f>
        <v>1197582.268278826</v>
      </c>
      <c r="E92">
        <v>8070.944345275879</v>
      </c>
      <c r="F92">
        <v>0</v>
      </c>
      <c r="G92">
        <f>D92*0.00797414</f>
        <v>9549.689182420461</v>
      </c>
      <c r="H92">
        <f>SUM(D92:G92)</f>
        <v>1215202.9018065224</v>
      </c>
    </row>
    <row r="93">
      <c r="A93">
        <v>92</v>
      </c>
      <c r="B93">
        <v>2032</v>
      </c>
      <c r="C93" t="str">
        <v>Авг</v>
      </c>
      <c r="D93">
        <f>H92</f>
        <v>1215202.9018065224</v>
      </c>
      <c r="E93">
        <v>8097.578461615289</v>
      </c>
      <c r="F93">
        <v>36000</v>
      </c>
      <c r="G93">
        <f>D93*0.00797414</f>
        <v>9690.198588616562</v>
      </c>
      <c r="H93">
        <f>SUM(D93:G93)</f>
        <v>1268990.6788567542</v>
      </c>
    </row>
    <row r="94">
      <c r="A94">
        <v>93</v>
      </c>
      <c r="B94">
        <v>2032</v>
      </c>
      <c r="C94" t="str">
        <v>Сен</v>
      </c>
      <c r="D94">
        <f>H93</f>
        <v>1268990.6788567542</v>
      </c>
      <c r="E94">
        <v>8124.30047053862</v>
      </c>
      <c r="F94">
        <v>0</v>
      </c>
      <c r="G94">
        <f>D94*0.00797414</f>
        <v>10119.109876173678</v>
      </c>
      <c r="H94">
        <f>SUM(D94:G94)</f>
        <v>1287234.0892034667</v>
      </c>
    </row>
    <row r="95">
      <c r="A95">
        <v>94</v>
      </c>
      <c r="B95">
        <v>2032</v>
      </c>
      <c r="C95" t="str">
        <v>Окт</v>
      </c>
      <c r="D95">
        <f>H94</f>
        <v>1287234.0892034667</v>
      </c>
      <c r="E95">
        <v>8151.110662091399</v>
      </c>
      <c r="F95">
        <v>0</v>
      </c>
      <c r="G95">
        <f>D95*0.00797414</f>
        <v>10264.585392180477</v>
      </c>
      <c r="H95">
        <f>SUM(D95:G95)</f>
        <v>1305649.7852577383</v>
      </c>
    </row>
    <row r="96">
      <c r="A96">
        <v>95</v>
      </c>
      <c r="B96">
        <v>2032</v>
      </c>
      <c r="C96" t="str">
        <v>Ноя</v>
      </c>
      <c r="D96">
        <f>H95</f>
        <v>1305649.7852577383</v>
      </c>
      <c r="E96">
        <v>8178.009327276301</v>
      </c>
      <c r="F96">
        <v>0</v>
      </c>
      <c r="G96">
        <f>D96*0.00797414</f>
        <v>10411.434738613249</v>
      </c>
      <c r="H96">
        <f>SUM(D96:G96)</f>
        <v>1324239.229323628</v>
      </c>
    </row>
    <row r="97">
      <c r="A97">
        <v>96</v>
      </c>
      <c r="B97">
        <v>2032</v>
      </c>
      <c r="C97" t="str">
        <v>Дек</v>
      </c>
      <c r="D97">
        <f>H96</f>
        <v>1324239.229323628</v>
      </c>
      <c r="E97">
        <v>8204.996758056313</v>
      </c>
      <c r="F97">
        <v>0</v>
      </c>
      <c r="G97">
        <f>D97*0.00797414</f>
        <v>10559.669576089904</v>
      </c>
      <c r="H97">
        <f>SUM(D97:G97)</f>
        <v>1343003.895657774</v>
      </c>
    </row>
    <row r="98">
      <c r="A98">
        <v>97</v>
      </c>
      <c r="B98">
        <v>2033</v>
      </c>
      <c r="C98" t="str">
        <v>Янв</v>
      </c>
      <c r="D98">
        <f>H97</f>
        <v>1343003.895657774</v>
      </c>
      <c r="E98">
        <v>8232.0732473579</v>
      </c>
      <c r="F98">
        <v>0</v>
      </c>
      <c r="G98">
        <f>D98*0.00797414</f>
        <v>10709.301660539908</v>
      </c>
      <c r="H98">
        <f>SUM(D98:G98)</f>
        <v>1361945.2705656718</v>
      </c>
    </row>
    <row r="99">
      <c r="A99">
        <v>98</v>
      </c>
      <c r="B99">
        <v>2033</v>
      </c>
      <c r="C99" t="str">
        <v>Фев</v>
      </c>
      <c r="D99">
        <f>H98</f>
        <v>1361945.2705656718</v>
      </c>
      <c r="E99">
        <v>8259.239089074183</v>
      </c>
      <c r="F99">
        <v>0</v>
      </c>
      <c r="G99">
        <f>D99*0.00797414</f>
        <v>10860.342843972</v>
      </c>
      <c r="H99">
        <f>SUM(D99:G99)</f>
        <v>1381064.8524987178</v>
      </c>
    </row>
    <row r="100">
      <c r="A100">
        <v>99</v>
      </c>
      <c r="B100">
        <v>2033</v>
      </c>
      <c r="C100" t="str">
        <v>Март</v>
      </c>
      <c r="D100">
        <f>H99</f>
        <v>1381064.8524987178</v>
      </c>
      <c r="E100">
        <v>8286.494578068126</v>
      </c>
      <c r="F100">
        <v>0</v>
      </c>
      <c r="G100">
        <f>D100*0.00797414</f>
        <v>11012.80507524804</v>
      </c>
      <c r="H100">
        <f>SUM(D100:G100)</f>
        <v>1400364.152152034</v>
      </c>
    </row>
    <row r="101">
      <c r="A101">
        <v>100</v>
      </c>
      <c r="B101">
        <v>2033</v>
      </c>
      <c r="C101" t="str">
        <v>Апр</v>
      </c>
      <c r="D101">
        <f>H100</f>
        <v>1400364.152152034</v>
      </c>
      <c r="E101">
        <v>8313.840010175752</v>
      </c>
      <c r="F101">
        <v>0</v>
      </c>
      <c r="G101">
        <f>D101*0.00797414</f>
        <v>11166.700400863077</v>
      </c>
      <c r="H101">
        <f>SUM(D101:G101)</f>
        <v>1419844.6925630728</v>
      </c>
    </row>
    <row r="102">
      <c r="A102">
        <v>101</v>
      </c>
      <c r="B102">
        <v>2033</v>
      </c>
      <c r="C102" t="str">
        <v>Май</v>
      </c>
      <c r="D102">
        <f>H101</f>
        <v>1419844.6925630728</v>
      </c>
      <c r="E102">
        <v>8341.275682209334</v>
      </c>
      <c r="F102">
        <v>0</v>
      </c>
      <c r="G102">
        <f>D102*0.00797414</f>
        <v>11322.040965731634</v>
      </c>
      <c r="H102">
        <f>SUM(D102:G102)</f>
        <v>1439508.0092110138</v>
      </c>
    </row>
    <row r="103">
      <c r="A103">
        <v>102</v>
      </c>
      <c r="B103">
        <v>2033</v>
      </c>
      <c r="C103" t="str">
        <v>Июнь</v>
      </c>
      <c r="D103">
        <f>H102</f>
        <v>1439508.0092110138</v>
      </c>
      <c r="E103">
        <v>8368.801891960624</v>
      </c>
      <c r="F103">
        <v>0</v>
      </c>
      <c r="G103">
        <f>D103*0.00797414</f>
        <v>11478.839013980318</v>
      </c>
      <c r="H103">
        <f>SUM(D103:G103)</f>
        <v>1459355.6501169547</v>
      </c>
    </row>
    <row r="104">
      <c r="A104">
        <v>103</v>
      </c>
      <c r="B104">
        <v>2033</v>
      </c>
      <c r="C104" t="str">
        <v>Июль</v>
      </c>
      <c r="D104">
        <f>H103</f>
        <v>1459355.6501169547</v>
      </c>
      <c r="E104">
        <v>8396.418938204095</v>
      </c>
      <c r="F104">
        <v>0</v>
      </c>
      <c r="G104">
        <f>D104*0.00797414</f>
        <v>11637.106889746745</v>
      </c>
      <c r="H104">
        <f>SUM(D104:G104)</f>
        <v>1479389.1759449057</v>
      </c>
    </row>
    <row r="105">
      <c r="A105">
        <v>104</v>
      </c>
      <c r="B105">
        <v>2033</v>
      </c>
      <c r="C105" t="str">
        <v>Авг</v>
      </c>
      <c r="D105">
        <f>H104</f>
        <v>1479389.1759449057</v>
      </c>
      <c r="E105">
        <v>8424.12712070017</v>
      </c>
      <c r="F105">
        <v>36000</v>
      </c>
      <c r="G105">
        <f>D105*0.00797414</f>
        <v>11796.857037984897</v>
      </c>
      <c r="H105">
        <f>SUM(D105:G105)</f>
        <v>1535610.160103591</v>
      </c>
    </row>
    <row r="106">
      <c r="A106">
        <v>105</v>
      </c>
      <c r="B106">
        <v>2033</v>
      </c>
      <c r="C106" t="str">
        <v>Сен</v>
      </c>
      <c r="D106">
        <f>H105</f>
        <v>1535610.160103591</v>
      </c>
      <c r="E106">
        <v>8451.92674019848</v>
      </c>
      <c r="F106">
        <v>0</v>
      </c>
      <c r="G106">
        <f>D106*0.00797414</f>
        <v>12245.171060717426</v>
      </c>
      <c r="H106">
        <f>SUM(D106:G106)</f>
        <v>1556307.2579045068</v>
      </c>
    </row>
    <row r="107">
      <c r="A107">
        <v>106</v>
      </c>
      <c r="B107">
        <v>2033</v>
      </c>
      <c r="C107" t="str">
        <v>Окт</v>
      </c>
      <c r="D107">
        <f>H106</f>
        <v>1556307.2579045068</v>
      </c>
      <c r="E107">
        <v>8479.818098441136</v>
      </c>
      <c r="F107">
        <v>0</v>
      </c>
      <c r="G107">
        <f>D107*0.00797414</f>
        <v>12410.212625052685</v>
      </c>
      <c r="H107">
        <f>SUM(D107:G107)</f>
        <v>1577197.2886280008</v>
      </c>
    </row>
    <row r="108">
      <c r="A108">
        <v>107</v>
      </c>
      <c r="B108">
        <v>2033</v>
      </c>
      <c r="C108" t="str">
        <v>Ноя</v>
      </c>
      <c r="D108">
        <f>H107</f>
        <v>1577197.2886280008</v>
      </c>
      <c r="E108">
        <v>8507.801498165993</v>
      </c>
      <c r="F108">
        <v>0</v>
      </c>
      <c r="G108">
        <f>D108*0.00797414</f>
        <v>12576.79266360594</v>
      </c>
      <c r="H108">
        <f>SUM(D108:G108)</f>
        <v>1598281.8827897727</v>
      </c>
    </row>
    <row r="109">
      <c r="A109">
        <v>108</v>
      </c>
      <c r="B109">
        <v>2033</v>
      </c>
      <c r="C109" t="str">
        <v>Дек</v>
      </c>
      <c r="D109">
        <f>H108</f>
        <v>1598281.8827897727</v>
      </c>
      <c r="E109">
        <v>8535.87724310994</v>
      </c>
      <c r="F109">
        <v>0</v>
      </c>
      <c r="G109">
        <f>D109*0.00797414</f>
        <v>12744.924178338353</v>
      </c>
      <c r="H109">
        <f>SUM(D109:G109)</f>
        <v>1619562.684211221</v>
      </c>
    </row>
    <row r="110">
      <c r="A110">
        <v>109</v>
      </c>
      <c r="B110">
        <v>2034</v>
      </c>
      <c r="C110" t="str">
        <v>Янв</v>
      </c>
      <c r="D110">
        <f>H109</f>
        <v>1619562.684211221</v>
      </c>
      <c r="E110">
        <v>8564.045638012203</v>
      </c>
      <c r="F110">
        <v>0</v>
      </c>
      <c r="G110">
        <f>D110*0.00797414</f>
        <v>12914.620277312599</v>
      </c>
      <c r="H110">
        <f>SUM(D110:G110)</f>
        <v>1641041.3501265459</v>
      </c>
    </row>
    <row r="111">
      <c r="A111">
        <v>110</v>
      </c>
      <c r="B111">
        <v>2034</v>
      </c>
      <c r="C111" t="str">
        <v>Фев</v>
      </c>
      <c r="D111">
        <f>H110</f>
        <v>1641041.3501265459</v>
      </c>
      <c r="E111">
        <v>8592.306988617645</v>
      </c>
      <c r="F111">
        <v>0</v>
      </c>
      <c r="G111">
        <f>D111*0.00797414</f>
        <v>13085.894175546908</v>
      </c>
      <c r="H111">
        <f>SUM(D111:G111)</f>
        <v>1662719.5512907105</v>
      </c>
    </row>
    <row r="112">
      <c r="A112">
        <v>111</v>
      </c>
      <c r="B112">
        <v>2034</v>
      </c>
      <c r="C112" t="str">
        <v>Март</v>
      </c>
      <c r="D112">
        <f>H111</f>
        <v>1662719.5512907105</v>
      </c>
      <c r="E112">
        <v>8620.661601680084</v>
      </c>
      <c r="F112">
        <v>0</v>
      </c>
      <c r="G112">
        <f>D112*0.00797414</f>
        <v>13258.75919587598</v>
      </c>
      <c r="H112">
        <f>SUM(D112:G112)</f>
        <v>1684598.9720882666</v>
      </c>
    </row>
    <row r="113">
      <c r="A113">
        <v>112</v>
      </c>
      <c r="B113">
        <v>2034</v>
      </c>
      <c r="C113" t="str">
        <v>Апр</v>
      </c>
      <c r="D113">
        <f>H112</f>
        <v>1684598.9720882666</v>
      </c>
      <c r="E113">
        <v>8649.109784965629</v>
      </c>
      <c r="F113">
        <v>0</v>
      </c>
      <c r="G113">
        <f>D113*0.00797414</f>
        <v>13433.22876981877</v>
      </c>
      <c r="H113">
        <f>SUM(D113:G113)</f>
        <v>1706681.310643051</v>
      </c>
    </row>
    <row r="114">
      <c r="A114">
        <v>113</v>
      </c>
      <c r="B114">
        <v>2034</v>
      </c>
      <c r="C114" t="str">
        <v>Май</v>
      </c>
      <c r="D114">
        <f>H113</f>
        <v>1706681.310643051</v>
      </c>
      <c r="E114">
        <v>8677.651847256016</v>
      </c>
      <c r="F114">
        <v>0</v>
      </c>
      <c r="G114">
        <f>D114*0.00797414</f>
        <v>13609.316438453217</v>
      </c>
      <c r="H114">
        <f>SUM(D114:G114)</f>
        <v>1728968.2789287604</v>
      </c>
    </row>
    <row r="115">
      <c r="A115">
        <v>114</v>
      </c>
      <c r="B115">
        <v>2034</v>
      </c>
      <c r="C115" t="str">
        <v>Июнь</v>
      </c>
      <c r="D115">
        <f>H114</f>
        <v>1728968.2789287604</v>
      </c>
      <c r="E115">
        <v>8706.288098351963</v>
      </c>
      <c r="F115">
        <v>0</v>
      </c>
      <c r="G115">
        <f>D115*0.00797414</f>
        <v>13787.035853297988</v>
      </c>
      <c r="H115">
        <f>SUM(D115:G115)</f>
        <v>1751461.6028804104</v>
      </c>
    </row>
    <row r="116">
      <c r="A116">
        <v>115</v>
      </c>
      <c r="B116">
        <v>2034</v>
      </c>
      <c r="C116" t="str">
        <v>Июль</v>
      </c>
      <c r="D116">
        <f>H115</f>
        <v>1751461.6028804104</v>
      </c>
      <c r="E116">
        <v>8735.018849076525</v>
      </c>
      <c r="F116">
        <v>0</v>
      </c>
      <c r="G116">
        <f>D116*0.00797414</f>
        <v>13966.40077720127</v>
      </c>
      <c r="H116">
        <f>SUM(D116:G116)</f>
        <v>1774163.022506688</v>
      </c>
    </row>
    <row r="117">
      <c r="A117">
        <v>116</v>
      </c>
      <c r="B117">
        <v>2034</v>
      </c>
      <c r="C117" t="str">
        <v>Авг</v>
      </c>
      <c r="D117">
        <f>H116</f>
        <v>1774163.022506688</v>
      </c>
      <c r="E117">
        <v>8763.844411278478</v>
      </c>
      <c r="F117">
        <v>36000</v>
      </c>
      <c r="G117">
        <f>D117*0.00797414</f>
        <v>14147.42508523668</v>
      </c>
      <c r="H117">
        <f>SUM(D117:G117)</f>
        <v>1833074.2920032032</v>
      </c>
    </row>
    <row r="118">
      <c r="A118">
        <v>117</v>
      </c>
      <c r="B118">
        <v>2034</v>
      </c>
      <c r="C118" t="str">
        <v>Сен</v>
      </c>
      <c r="D118">
        <f>H117</f>
        <v>1833074.2920032032</v>
      </c>
      <c r="E118">
        <v>8792.765097835698</v>
      </c>
      <c r="F118">
        <v>0</v>
      </c>
      <c r="G118">
        <f>D118*0.00797414</f>
        <v>14617.191821046887</v>
      </c>
      <c r="H118">
        <f>SUM(D118:G118)</f>
        <v>1856484.2489220859</v>
      </c>
    </row>
    <row r="119">
      <c r="A119">
        <v>118</v>
      </c>
      <c r="B119">
        <v>2034</v>
      </c>
      <c r="C119" t="str">
        <v>Окт</v>
      </c>
      <c r="D119">
        <f>H118</f>
        <v>1856484.2489220859</v>
      </c>
      <c r="E119">
        <v>8821.781222658556</v>
      </c>
      <c r="F119">
        <v>0</v>
      </c>
      <c r="G119">
        <f>D119*0.00797414</f>
        <v>14803.866104952644</v>
      </c>
      <c r="H119">
        <f>SUM(D119:G119)</f>
        <v>1880109.896249697</v>
      </c>
    </row>
    <row r="120">
      <c r="A120">
        <v>119</v>
      </c>
      <c r="B120">
        <v>2034</v>
      </c>
      <c r="C120" t="str">
        <v>Ноя</v>
      </c>
      <c r="D120">
        <f>H119</f>
        <v>1880109.896249697</v>
      </c>
      <c r="E120">
        <v>8850.893100693329</v>
      </c>
      <c r="F120">
        <v>0</v>
      </c>
      <c r="G120">
        <f>D120*0.00797414</f>
        <v>14992.260334466771</v>
      </c>
      <c r="H120">
        <f>SUM(D120:G120)</f>
        <v>1903953.0496848573</v>
      </c>
    </row>
    <row r="121">
      <c r="A121">
        <v>120</v>
      </c>
      <c r="B121">
        <v>2034</v>
      </c>
      <c r="C121" t="str">
        <v>Дек</v>
      </c>
      <c r="D121">
        <f>H120</f>
        <v>1903953.0496848573</v>
      </c>
      <c r="E121">
        <v>8880.101047925618</v>
      </c>
      <c r="F121">
        <v>0</v>
      </c>
      <c r="G121">
        <f>D121*0.00797414</f>
        <v>15182.388988226638</v>
      </c>
      <c r="H121">
        <f>SUM(D121:G121)</f>
        <v>1928015.5397210096</v>
      </c>
    </row>
    <row r="122">
      <c r="A122">
        <v>121</v>
      </c>
      <c r="B122">
        <v>2035</v>
      </c>
      <c r="C122" t="str">
        <v>Янв</v>
      </c>
      <c r="D122">
        <f>H121</f>
        <v>1928015.5397210096</v>
      </c>
      <c r="E122">
        <v>8909.405381383775</v>
      </c>
      <c r="F122">
        <v>0</v>
      </c>
      <c r="G122">
        <f>D122*0.00797414</f>
        <v>15374.266662844013</v>
      </c>
      <c r="H122">
        <f>SUM(D122:G122)</f>
        <v>1952299.2117652374</v>
      </c>
    </row>
    <row r="123">
      <c r="A123">
        <v>122</v>
      </c>
      <c r="B123">
        <v>2035</v>
      </c>
      <c r="C123" t="str">
        <v>Фев</v>
      </c>
      <c r="D123">
        <f>H122</f>
        <v>1952299.2117652374</v>
      </c>
      <c r="E123">
        <v>8938.80641914234</v>
      </c>
      <c r="F123">
        <v>0</v>
      </c>
      <c r="G123">
        <f>D123*0.00797414</f>
        <v>15567.90807385413</v>
      </c>
      <c r="H123">
        <f>SUM(D123:G123)</f>
        <v>1976805.9262582338</v>
      </c>
    </row>
    <row r="124">
      <c r="A124">
        <v>123</v>
      </c>
      <c r="B124">
        <v>2035</v>
      </c>
      <c r="C124" t="str">
        <v>Март</v>
      </c>
      <c r="D124">
        <f>H123</f>
        <v>1976805.9262582338</v>
      </c>
      <c r="E124">
        <v>8968.30448032551</v>
      </c>
      <c r="F124">
        <v>0</v>
      </c>
      <c r="G124">
        <f>D124*0.00797414</f>
        <v>15763.328056672335</v>
      </c>
      <c r="H124">
        <f>SUM(D124:G124)</f>
        <v>2001537.5587952316</v>
      </c>
    </row>
    <row r="125">
      <c r="A125">
        <v>124</v>
      </c>
      <c r="B125">
        <v>2035</v>
      </c>
      <c r="C125" t="str">
        <v>Апр</v>
      </c>
      <c r="D125">
        <f>H124</f>
        <v>2001537.5587952316</v>
      </c>
      <c r="E125">
        <v>8997.899885110586</v>
      </c>
      <c r="F125">
        <v>0</v>
      </c>
      <c r="G125">
        <f>D125*0.00797414</f>
        <v>15960.5415675584</v>
      </c>
      <c r="H125">
        <f>SUM(D125:G125)</f>
        <v>2026496.0002479006</v>
      </c>
    </row>
    <row r="126">
      <c r="A126">
        <v>125</v>
      </c>
      <c r="B126">
        <v>2035</v>
      </c>
      <c r="C126" t="str">
        <v>Май</v>
      </c>
      <c r="D126">
        <f>H125</f>
        <v>2026496.0002479006</v>
      </c>
      <c r="E126">
        <v>9027.592954731452</v>
      </c>
      <c r="F126">
        <v>0</v>
      </c>
      <c r="G126">
        <f>D126*0.00797414</f>
        <v>16159.563684588556</v>
      </c>
      <c r="H126">
        <f>SUM(D126:G126)</f>
        <v>2051683.1568872207</v>
      </c>
    </row>
    <row r="127">
      <c r="A127">
        <v>126</v>
      </c>
      <c r="B127">
        <v>2035</v>
      </c>
      <c r="C127" t="str">
        <v>Июнь</v>
      </c>
      <c r="D127">
        <f>H126</f>
        <v>2051683.1568872207</v>
      </c>
      <c r="E127">
        <v>9057.384011482067</v>
      </c>
      <c r="F127">
        <v>0</v>
      </c>
      <c r="G127">
        <f>D127*0.00797414</f>
        <v>16360.409608635291</v>
      </c>
      <c r="H127">
        <f>SUM(D127:G127)</f>
        <v>2077100.9505073382</v>
      </c>
    </row>
    <row r="128">
      <c r="A128">
        <v>127</v>
      </c>
      <c r="B128">
        <v>2035</v>
      </c>
      <c r="C128" t="str">
        <v>Июль</v>
      </c>
      <c r="D128">
        <f>H127</f>
        <v>2077100.9505073382</v>
      </c>
      <c r="E128">
        <v>9087.27337871996</v>
      </c>
      <c r="F128">
        <v>0</v>
      </c>
      <c r="G128">
        <f>D128*0.00797414</f>
        <v>16563.094664355</v>
      </c>
      <c r="H128">
        <f>SUM(D128:G128)</f>
        <v>2102751.318550413</v>
      </c>
    </row>
    <row r="129">
      <c r="A129">
        <v>128</v>
      </c>
      <c r="B129">
        <v>2035</v>
      </c>
      <c r="C129" t="str">
        <v>Авг</v>
      </c>
      <c r="D129">
        <f>H128</f>
        <v>2102751.318550413</v>
      </c>
      <c r="E129">
        <v>9117.261380869733</v>
      </c>
      <c r="F129">
        <v>36000</v>
      </c>
      <c r="G129">
        <f>D129*0.00797414</f>
        <v>16767.634301183545</v>
      </c>
      <c r="H129">
        <f>SUM(D129:G129)</f>
        <v>2164636.2142324666</v>
      </c>
    </row>
    <row r="130">
      <c r="A130">
        <v>129</v>
      </c>
      <c r="B130">
        <v>2035</v>
      </c>
      <c r="C130" t="str">
        <v>Сен</v>
      </c>
      <c r="D130">
        <f>H129</f>
        <v>2164636.2142324666</v>
      </c>
      <c r="E130">
        <v>9147.348343426605</v>
      </c>
      <c r="F130">
        <v>0</v>
      </c>
      <c r="G130">
        <f>D130*0.00797414</f>
        <v>17261.113149780304</v>
      </c>
      <c r="H130">
        <f>SUM(D130:G130)</f>
        <v>2191044.675725674</v>
      </c>
    </row>
    <row r="131">
      <c r="A131">
        <v>130</v>
      </c>
      <c r="B131">
        <v>2035</v>
      </c>
      <c r="C131" t="str">
        <v>Окт</v>
      </c>
      <c r="D131">
        <f>H130</f>
        <v>2191044.675725674</v>
      </c>
      <c r="E131">
        <v>9177.534592959913</v>
      </c>
      <c r="F131">
        <v>0</v>
      </c>
      <c r="G131">
        <f>D131*0.00797414</f>
        <v>17471.697930238435</v>
      </c>
      <c r="H131">
        <f>SUM(D131:G131)</f>
        <v>2217693.908248872</v>
      </c>
    </row>
    <row r="132">
      <c r="A132">
        <v>131</v>
      </c>
      <c r="B132">
        <v>2035</v>
      </c>
      <c r="C132" t="str">
        <v>Ноя</v>
      </c>
      <c r="D132">
        <f>H131</f>
        <v>2217693.908248872</v>
      </c>
      <c r="E132">
        <v>9207.820457116683</v>
      </c>
      <c r="F132">
        <v>0</v>
      </c>
      <c r="G132">
        <f>D132*0.00797414</f>
        <v>17684.202652700926</v>
      </c>
      <c r="H132">
        <f>SUM(D132:G132)</f>
        <v>2244585.9313586894</v>
      </c>
    </row>
    <row r="133">
      <c r="A133">
        <v>132</v>
      </c>
      <c r="B133">
        <v>2035</v>
      </c>
      <c r="C133" t="str">
        <v>Дек</v>
      </c>
      <c r="D133">
        <f>H132</f>
        <v>2244585.9313586894</v>
      </c>
      <c r="E133">
        <v>9238.206264625169</v>
      </c>
      <c r="F133">
        <v>0</v>
      </c>
      <c r="G133">
        <f>D133*0.00797414</f>
        <v>17898.643421395936</v>
      </c>
      <c r="H133">
        <f>SUM(D133:G133)</f>
        <v>2271722.781044711</v>
      </c>
    </row>
    <row r="134">
      <c r="A134">
        <v>133</v>
      </c>
      <c r="B134">
        <v>2036</v>
      </c>
      <c r="C134" t="str">
        <v>Янв</v>
      </c>
      <c r="D134">
        <f>H133</f>
        <v>2271722.781044711</v>
      </c>
      <c r="E134">
        <v>9268.692345298432</v>
      </c>
      <c r="F134">
        <v>0</v>
      </c>
      <c r="G134">
        <f>D134*0.00797414</f>
        <v>18115.036471590323</v>
      </c>
      <c r="H134">
        <f>SUM(D134:G134)</f>
        <v>2299106.5098615997</v>
      </c>
    </row>
    <row r="135">
      <c r="A135">
        <v>134</v>
      </c>
      <c r="B135">
        <v>2036</v>
      </c>
      <c r="C135" t="str">
        <v>Фев</v>
      </c>
      <c r="D135">
        <f>H134</f>
        <v>2299106.5098615997</v>
      </c>
      <c r="E135">
        <v>9299.279030037918</v>
      </c>
      <c r="F135">
        <v>0</v>
      </c>
      <c r="G135">
        <f>D135*0.00797414</f>
        <v>18333.398170643213</v>
      </c>
      <c r="H135">
        <f>SUM(D135:G135)</f>
        <v>2326739.1870622807</v>
      </c>
    </row>
    <row r="136">
      <c r="A136">
        <v>135</v>
      </c>
      <c r="B136">
        <v>2036</v>
      </c>
      <c r="C136" t="str">
        <v>Март</v>
      </c>
      <c r="D136">
        <f>H135</f>
        <v>2326739.1870622807</v>
      </c>
      <c r="E136">
        <v>9329.966650837043</v>
      </c>
      <c r="F136">
        <v>0</v>
      </c>
      <c r="G136">
        <f>D136*0.00797414</f>
        <v>18553.74501906801</v>
      </c>
      <c r="H136">
        <f>SUM(D136:G136)</f>
        <v>2354622.898732186</v>
      </c>
    </row>
    <row r="137">
      <c r="A137">
        <v>136</v>
      </c>
      <c r="B137">
        <v>2036</v>
      </c>
      <c r="C137" t="str">
        <v>Апр</v>
      </c>
      <c r="D137">
        <f>H136</f>
        <v>2354622.898732186</v>
      </c>
      <c r="E137">
        <v>9360.755540784807</v>
      </c>
      <c r="F137">
        <v>0</v>
      </c>
      <c r="G137">
        <f>D137*0.00797414</f>
        <v>18776.093651602896</v>
      </c>
      <c r="H137">
        <f>SUM(D137:G137)</f>
        <v>2382759.7479245737</v>
      </c>
    </row>
    <row r="138">
      <c r="A138">
        <v>137</v>
      </c>
      <c r="B138">
        <v>2036</v>
      </c>
      <c r="C138" t="str">
        <v>Май</v>
      </c>
      <c r="D138">
        <f>H137</f>
        <v>2382759.7479245737</v>
      </c>
      <c r="E138">
        <v>9391.646034069398</v>
      </c>
      <c r="F138">
        <v>0</v>
      </c>
      <c r="G138">
        <f>D138*0.00797414</f>
        <v>19000.460838289884</v>
      </c>
      <c r="H138">
        <f>SUM(D138:G138)</f>
        <v>2411151.854796933</v>
      </c>
    </row>
    <row r="139">
      <c r="A139">
        <v>138</v>
      </c>
      <c r="B139">
        <v>2036</v>
      </c>
      <c r="C139" t="str">
        <v>Июнь</v>
      </c>
      <c r="D139">
        <f>H138</f>
        <v>2411151.854796933</v>
      </c>
      <c r="E139">
        <v>9422.638465981827</v>
      </c>
      <c r="F139">
        <v>0</v>
      </c>
      <c r="G139">
        <f>D139*0.00797414</f>
        <v>19226.86348556252</v>
      </c>
      <c r="H139">
        <f>SUM(D139:G139)</f>
        <v>2439801.3567484776</v>
      </c>
    </row>
    <row r="140">
      <c r="A140">
        <v>139</v>
      </c>
      <c r="B140">
        <v>2036</v>
      </c>
      <c r="C140" t="str">
        <v>Июль</v>
      </c>
      <c r="D140">
        <f>H139</f>
        <v>2439801.3567484776</v>
      </c>
      <c r="E140">
        <v>9453.733172919567</v>
      </c>
      <c r="F140">
        <v>0</v>
      </c>
      <c r="G140">
        <f>D140*0.00797414</f>
        <v>19455.31863734229</v>
      </c>
      <c r="H140">
        <f>SUM(D140:G140)</f>
        <v>2468710.4085587393</v>
      </c>
    </row>
    <row r="141">
      <c r="A141">
        <v>140</v>
      </c>
      <c r="B141">
        <v>2036</v>
      </c>
      <c r="C141" t="str">
        <v>Авг</v>
      </c>
      <c r="D141">
        <f>H140</f>
        <v>2468710.4085587393</v>
      </c>
      <c r="E141">
        <v>9484.930492390202</v>
      </c>
      <c r="F141">
        <v>0</v>
      </c>
      <c r="G141">
        <f>D141*0.00797414</f>
        <v>19685.843476143775</v>
      </c>
      <c r="H141">
        <f>SUM(D141:G141)</f>
        <v>2497881.1825272734</v>
      </c>
    </row>
    <row r="142">
      <c r="A142">
        <v>141</v>
      </c>
      <c r="B142">
        <v>2036</v>
      </c>
      <c r="C142" t="str">
        <v>Сен</v>
      </c>
      <c r="D142">
        <f>H141</f>
        <v>2497881.1825272734</v>
      </c>
      <c r="E142">
        <v>9516.230763015092</v>
      </c>
      <c r="F142">
        <v>0</v>
      </c>
      <c r="G142">
        <f>D142*0.00797414</f>
        <v>19918.455324188675</v>
      </c>
      <c r="H142">
        <f>SUM(D142:G142)</f>
        <v>2527315.868614477</v>
      </c>
    </row>
    <row r="143">
      <c r="A143">
        <v>142</v>
      </c>
      <c r="B143">
        <v>2036</v>
      </c>
      <c r="C143" t="str">
        <v>Окт</v>
      </c>
      <c r="D143">
        <f>H142</f>
        <v>2527315.868614477</v>
      </c>
      <c r="E143">
        <v>9547.634324533043</v>
      </c>
      <c r="F143">
        <v>0</v>
      </c>
      <c r="G143">
        <f>D143*0.00797414</f>
        <v>20153.171644528735</v>
      </c>
      <c r="H143">
        <f>SUM(D143:G143)</f>
        <v>2557016.674583539</v>
      </c>
    </row>
    <row r="144">
      <c r="A144">
        <v>143</v>
      </c>
      <c r="B144">
        <v>2036</v>
      </c>
      <c r="C144" t="str">
        <v>Ноя</v>
      </c>
      <c r="D144">
        <f>H143</f>
        <v>2557016.674583539</v>
      </c>
      <c r="E144">
        <v>9579.141517804002</v>
      </c>
      <c r="F144">
        <v>0</v>
      </c>
      <c r="G144">
        <f>D144*0.00797414</f>
        <v>20390.01004217766</v>
      </c>
      <c r="H144">
        <f>SUM(D144:G144)</f>
        <v>2586985.8261435204</v>
      </c>
    </row>
    <row r="145">
      <c r="A145">
        <v>144</v>
      </c>
      <c r="B145">
        <v>2036</v>
      </c>
      <c r="C145" t="str">
        <v>Дек</v>
      </c>
      <c r="D145">
        <f>H144</f>
        <v>2586985.8261435204</v>
      </c>
      <c r="E145">
        <v>9610.752684812756</v>
      </c>
      <c r="F145">
        <v>0</v>
      </c>
      <c r="G145">
        <f>D145*0.00797414</f>
        <v>20628.98826525205</v>
      </c>
      <c r="H145">
        <f>SUM(D145:G145)</f>
        <v>2617225.567093585</v>
      </c>
    </row>
    <row r="146">
      <c r="A146">
        <v>145</v>
      </c>
      <c r="B146">
        <v>2037</v>
      </c>
      <c r="C146" t="str">
        <v>Янв</v>
      </c>
      <c r="D146">
        <f>H145</f>
        <v>2617225.567093585</v>
      </c>
      <c r="E146">
        <v>9642.468168672638</v>
      </c>
      <c r="F146">
        <v>0</v>
      </c>
      <c r="G146">
        <f>D146*0.00797414</f>
        <v>20870.124206121538</v>
      </c>
      <c r="H146">
        <f>SUM(D146:G146)</f>
        <v>2647738.1594683793</v>
      </c>
    </row>
    <row r="147">
      <c r="A147">
        <v>146</v>
      </c>
      <c r="B147">
        <v>2037</v>
      </c>
      <c r="C147" t="str">
        <v>Фев</v>
      </c>
      <c r="D147">
        <f>H146</f>
        <v>2647738.1594683793</v>
      </c>
      <c r="E147">
        <v>9674.288313629258</v>
      </c>
      <c r="F147">
        <v>0</v>
      </c>
      <c r="G147">
        <f>D147*0.00797414</f>
        <v>21113.435902568046</v>
      </c>
      <c r="H147">
        <f>SUM(D147:G147)</f>
        <v>2678525.8836845765</v>
      </c>
    </row>
    <row r="148">
      <c r="A148">
        <v>147</v>
      </c>
      <c r="B148">
        <v>2037</v>
      </c>
      <c r="C148" t="str">
        <v>Март</v>
      </c>
      <c r="D148">
        <f>H147</f>
        <v>2678525.8836845765</v>
      </c>
      <c r="E148">
        <v>9706.213465064237</v>
      </c>
      <c r="F148">
        <v>0</v>
      </c>
      <c r="G148">
        <f>D148*0.00797414</f>
        <v>21358.941538954365</v>
      </c>
      <c r="H148">
        <f>SUM(D148:G148)</f>
        <v>2709591.038688595</v>
      </c>
    </row>
    <row r="149">
      <c r="A149">
        <v>148</v>
      </c>
      <c r="B149">
        <v>2037</v>
      </c>
      <c r="C149" t="str">
        <v>Апр</v>
      </c>
      <c r="D149">
        <f>H148</f>
        <v>2709591.038688595</v>
      </c>
      <c r="E149">
        <v>9738.24396949895</v>
      </c>
      <c r="F149">
        <v>0</v>
      </c>
      <c r="G149">
        <f>D149*0.00797414</f>
        <v>21606.659447402068</v>
      </c>
      <c r="H149">
        <f>SUM(D149:G149)</f>
        <v>2740935.9421054963</v>
      </c>
    </row>
    <row r="150">
      <c r="A150">
        <v>149</v>
      </c>
      <c r="B150">
        <v>2037</v>
      </c>
      <c r="C150" t="str">
        <v>Май</v>
      </c>
      <c r="D150">
        <f>H149</f>
        <v>2740935.9421054963</v>
      </c>
      <c r="E150">
        <v>9770.380174598296</v>
      </c>
      <c r="F150">
        <v>0</v>
      </c>
      <c r="G150">
        <f>D150*0.00797414</f>
        <v>21856.608108978864</v>
      </c>
      <c r="H150">
        <f>SUM(D150:G150)</f>
        <v>2772562.930389073</v>
      </c>
    </row>
    <row r="151">
      <c r="A151">
        <v>150</v>
      </c>
      <c r="B151">
        <v>2037</v>
      </c>
      <c r="C151" t="str">
        <v>Июнь</v>
      </c>
      <c r="D151">
        <f>H150</f>
        <v>2772562.930389073</v>
      </c>
      <c r="E151">
        <v>9802.622429174471</v>
      </c>
      <c r="F151">
        <v>0</v>
      </c>
      <c r="G151">
        <f>D151*0.00797414</f>
        <v>22108.806154895403</v>
      </c>
      <c r="H151">
        <f>SUM(D151:G151)</f>
        <v>2804474.358973143</v>
      </c>
    </row>
    <row r="152">
      <c r="A152">
        <v>151</v>
      </c>
      <c r="B152">
        <v>2037</v>
      </c>
      <c r="C152" t="str">
        <v>Июль</v>
      </c>
      <c r="D152">
        <f>H151</f>
        <v>2804474.358973143</v>
      </c>
      <c r="E152">
        <v>9834.971083190749</v>
      </c>
      <c r="F152">
        <v>0</v>
      </c>
      <c r="G152">
        <f>D152*0.00797414</f>
        <v>22363.27236771171</v>
      </c>
      <c r="H152">
        <f>SUM(D152:G152)</f>
        <v>2836672.6024240456</v>
      </c>
    </row>
    <row r="153">
      <c r="A153">
        <v>152</v>
      </c>
      <c r="B153">
        <v>2037</v>
      </c>
      <c r="C153" t="str">
        <v>Авг</v>
      </c>
      <c r="D153">
        <f>H152</f>
        <v>2836672.6024240456</v>
      </c>
      <c r="E153">
        <v>9867.426487765279</v>
      </c>
      <c r="F153">
        <v>0</v>
      </c>
      <c r="G153">
        <f>D153*0.00797414</f>
        <v>22620.025682553234</v>
      </c>
      <c r="H153">
        <f>SUM(D153:G153)</f>
        <v>2869160.054594364</v>
      </c>
    </row>
    <row r="154">
      <c r="A154">
        <v>153</v>
      </c>
      <c r="B154">
        <v>2037</v>
      </c>
      <c r="C154" t="str">
        <v>Сен</v>
      </c>
      <c r="D154">
        <f>H153</f>
        <v>2869160.054594364</v>
      </c>
      <c r="E154">
        <v>9899.988995174905</v>
      </c>
      <c r="F154">
        <v>0</v>
      </c>
      <c r="G154">
        <f>D154*0.00797414</f>
        <v>22879.08518833665</v>
      </c>
      <c r="H154">
        <f>SUM(D154:G154)</f>
        <v>2901939.1287778756</v>
      </c>
    </row>
    <row r="155">
      <c r="A155">
        <v>154</v>
      </c>
      <c r="B155">
        <v>2037</v>
      </c>
      <c r="C155" t="str">
        <v>Окт</v>
      </c>
      <c r="D155">
        <f>H154</f>
        <v>2901939.1287778756</v>
      </c>
      <c r="E155">
        <v>9932.658958858983</v>
      </c>
      <c r="F155">
        <v>0</v>
      </c>
      <c r="G155">
        <f>D155*0.00797414</f>
        <v>23140.470129005425</v>
      </c>
      <c r="H155">
        <f>SUM(D155:G155)</f>
        <v>2935012.25786574</v>
      </c>
    </row>
    <row r="156">
      <c r="A156">
        <v>155</v>
      </c>
      <c r="B156">
        <v>2037</v>
      </c>
      <c r="C156" t="str">
        <v>Ноя</v>
      </c>
      <c r="D156">
        <f>H155</f>
        <v>2935012.25786574</v>
      </c>
      <c r="E156">
        <v>9965.436733423217</v>
      </c>
      <c r="F156">
        <v>0</v>
      </c>
      <c r="G156">
        <f>D156*0.00797414</f>
        <v>23404.199904775316</v>
      </c>
      <c r="H156">
        <f>SUM(D156:G156)</f>
        <v>2968381.8945039385</v>
      </c>
    </row>
    <row r="157">
      <c r="A157">
        <v>156</v>
      </c>
      <c r="B157">
        <v>2037</v>
      </c>
      <c r="C157" t="str">
        <v>Дек</v>
      </c>
      <c r="D157">
        <f>H156</f>
        <v>2968381.8945039385</v>
      </c>
      <c r="E157">
        <v>9998.322674643516</v>
      </c>
      <c r="F157">
        <v>0</v>
      </c>
      <c r="G157">
        <f>D157*0.00797414</f>
        <v>23670.294073389803</v>
      </c>
      <c r="H157">
        <f>SUM(D157:G157)</f>
        <v>3002050.511251972</v>
      </c>
    </row>
    <row r="158">
      <c r="A158">
        <v>157</v>
      </c>
      <c r="B158">
        <v>2038</v>
      </c>
      <c r="C158" t="str">
        <v>Янв</v>
      </c>
      <c r="D158">
        <f>H157</f>
        <v>3002050.511251972</v>
      </c>
      <c r="E158">
        <v>10031.31713946984</v>
      </c>
      <c r="F158">
        <v>0</v>
      </c>
      <c r="G158">
        <f>D158*0.00797414</f>
        <v>23938.772351385564</v>
      </c>
      <c r="H158">
        <f>SUM(D158:G158)</f>
        <v>3036020.6007428276</v>
      </c>
    </row>
    <row r="159">
      <c r="A159">
        <v>158</v>
      </c>
      <c r="B159">
        <v>2038</v>
      </c>
      <c r="C159" t="str">
        <v>Фев</v>
      </c>
      <c r="D159">
        <f>H158</f>
        <v>3036020.6007428276</v>
      </c>
      <c r="E159">
        <v>10064.42048603009</v>
      </c>
      <c r="F159">
        <v>0</v>
      </c>
      <c r="G159">
        <f>D159*0.00797414</f>
        <v>24209.654615368076</v>
      </c>
      <c r="H159">
        <f>SUM(D159:G159)</f>
        <v>3070294.675844226</v>
      </c>
    </row>
    <row r="160">
      <c r="A160">
        <v>159</v>
      </c>
      <c r="B160">
        <v>2038</v>
      </c>
      <c r="C160" t="str">
        <v>Март</v>
      </c>
      <c r="D160">
        <f>H159</f>
        <v>3070294.675844226</v>
      </c>
      <c r="E160">
        <v>10097.633073633991</v>
      </c>
      <c r="F160">
        <v>0</v>
      </c>
      <c r="G160">
        <f>D160*0.00797414</f>
        <v>24482.960903297422</v>
      </c>
      <c r="H160">
        <f>SUM(D160:G160)</f>
        <v>3104875.2698211577</v>
      </c>
    </row>
    <row r="161">
      <c r="A161">
        <v>160</v>
      </c>
      <c r="B161">
        <v>2038</v>
      </c>
      <c r="C161" t="str">
        <v>Апр</v>
      </c>
      <c r="D161">
        <f>H160</f>
        <v>3104875.2698211577</v>
      </c>
      <c r="E161">
        <v>10130.955262776984</v>
      </c>
      <c r="F161">
        <v>0</v>
      </c>
      <c r="G161">
        <f>D161*0.00797414</f>
        <v>24758.71141578438</v>
      </c>
      <c r="H161">
        <f>SUM(D161:G161)</f>
        <v>3139764.936499719</v>
      </c>
    </row>
    <row r="162">
      <c r="A162">
        <v>161</v>
      </c>
      <c r="B162">
        <v>2038</v>
      </c>
      <c r="C162" t="str">
        <v>Май</v>
      </c>
      <c r="D162">
        <f>H161</f>
        <v>3139764.936499719</v>
      </c>
      <c r="E162">
        <v>10164.387415144149</v>
      </c>
      <c r="F162">
        <v>0</v>
      </c>
      <c r="G162">
        <f>D162*0.00797414</f>
        <v>25036.92651739687</v>
      </c>
      <c r="H162">
        <f>SUM(D162:G162)</f>
        <v>3174966.25043226</v>
      </c>
    </row>
    <row r="163">
      <c r="A163">
        <v>162</v>
      </c>
      <c r="B163">
        <v>2038</v>
      </c>
      <c r="C163" t="str">
        <v>Июнь</v>
      </c>
      <c r="D163">
        <f>H162</f>
        <v>3174966.25043226</v>
      </c>
      <c r="E163">
        <v>10197.929893614126</v>
      </c>
      <c r="F163">
        <v>0</v>
      </c>
      <c r="G163">
        <f>D163*0.00797414</f>
        <v>25317.626737976876</v>
      </c>
      <c r="H163">
        <f>SUM(D163:G163)</f>
        <v>3210481.807063851</v>
      </c>
    </row>
    <row r="164">
      <c r="A164">
        <v>163</v>
      </c>
      <c r="B164">
        <v>2038</v>
      </c>
      <c r="C164" t="str">
        <v>Июль</v>
      </c>
      <c r="D164">
        <f>H163</f>
        <v>3210481.807063851</v>
      </c>
      <c r="E164">
        <v>10231.583062263055</v>
      </c>
      <c r="F164">
        <v>0</v>
      </c>
      <c r="G164">
        <f>D164*0.00797414</f>
        <v>25600.832773967868</v>
      </c>
      <c r="H164">
        <f>SUM(D164:G164)</f>
        <v>3246314.222900082</v>
      </c>
    </row>
    <row r="165">
      <c r="A165">
        <v>164</v>
      </c>
      <c r="B165">
        <v>2038</v>
      </c>
      <c r="C165" t="str">
        <v>Авг</v>
      </c>
      <c r="D165">
        <f>H164</f>
        <v>3246314.222900082</v>
      </c>
      <c r="E165">
        <v>10265.347286368522</v>
      </c>
      <c r="F165">
        <v>0</v>
      </c>
      <c r="G165">
        <f>D165*0.00797414</f>
        <v>25886.565489752847</v>
      </c>
      <c r="H165">
        <f>SUM(D165:G165)</f>
        <v>3282466.1356762033</v>
      </c>
    </row>
    <row r="166">
      <c r="A166">
        <v>165</v>
      </c>
      <c r="B166">
        <v>2038</v>
      </c>
      <c r="C166" t="str">
        <v>Сен</v>
      </c>
      <c r="D166">
        <f>H165</f>
        <v>3282466.1356762033</v>
      </c>
      <c r="E166">
        <v>10299.222932413539</v>
      </c>
      <c r="F166">
        <v>0</v>
      </c>
      <c r="G166">
        <f>D166*0.00797414</f>
        <v>26174.84591900312</v>
      </c>
      <c r="H166">
        <f>SUM(D166:G166)</f>
        <v>3318940.20452762</v>
      </c>
    </row>
    <row r="167">
      <c r="A167">
        <v>166</v>
      </c>
      <c r="B167">
        <v>2038</v>
      </c>
      <c r="C167" t="str">
        <v>Окт</v>
      </c>
      <c r="D167">
        <f>H166</f>
        <v>3318940.20452762</v>
      </c>
      <c r="E167">
        <v>10333.210368090504</v>
      </c>
      <c r="F167">
        <v>0</v>
      </c>
      <c r="G167">
        <f>D167*0.00797414</f>
        <v>26465.695266037827</v>
      </c>
      <c r="H167">
        <f>SUM(D167:G167)</f>
        <v>3355739.1101617482</v>
      </c>
    </row>
    <row r="168">
      <c r="A168">
        <v>167</v>
      </c>
      <c r="B168">
        <v>2038</v>
      </c>
      <c r="C168" t="str">
        <v>Ноя</v>
      </c>
      <c r="D168">
        <f>H167</f>
        <v>3355739.1101617482</v>
      </c>
      <c r="E168">
        <v>10367.309962305204</v>
      </c>
      <c r="F168">
        <v>0</v>
      </c>
      <c r="G168">
        <f>D168*0.00797414</f>
        <v>26759.13490719434</v>
      </c>
      <c r="H168">
        <f>SUM(D168:G168)</f>
        <v>3392865.555031248</v>
      </c>
    </row>
    <row r="169">
      <c r="A169">
        <v>168</v>
      </c>
      <c r="B169">
        <v>2038</v>
      </c>
      <c r="C169" t="str">
        <v>Дек</v>
      </c>
      <c r="D169">
        <f>H168</f>
        <v>3392865.555031248</v>
      </c>
      <c r="E169">
        <v>10401.522085180812</v>
      </c>
      <c r="F169">
        <v>0</v>
      </c>
      <c r="G169">
        <f>D169*0.00797414</f>
        <v>27055.18639220968</v>
      </c>
      <c r="H169">
        <f>SUM(D169:G169)</f>
        <v>3430322.2635086384</v>
      </c>
    </row>
    <row r="170">
      <c r="A170">
        <v>169</v>
      </c>
      <c r="B170">
        <v>2039</v>
      </c>
      <c r="C170" t="str">
        <v>Янв</v>
      </c>
      <c r="D170">
        <f>H169</f>
        <v>3430322.2635086384</v>
      </c>
      <c r="E170">
        <v>10435.84710806191</v>
      </c>
      <c r="F170">
        <v>0</v>
      </c>
      <c r="G170">
        <f>D170*0.00797414</f>
        <v>27353.871445612906</v>
      </c>
      <c r="H170">
        <f>SUM(D170:G170)</f>
        <v>3468111.9820623132</v>
      </c>
    </row>
    <row r="171">
      <c r="A171">
        <v>170</v>
      </c>
      <c r="B171">
        <v>2039</v>
      </c>
      <c r="C171" t="str">
        <v>Фев</v>
      </c>
      <c r="D171">
        <f>H170</f>
        <v>3468111.9820623132</v>
      </c>
      <c r="E171">
        <v>10470.285403518516</v>
      </c>
      <c r="F171">
        <v>0</v>
      </c>
      <c r="G171">
        <f>D171*0.00797414</f>
        <v>27655.21196812866</v>
      </c>
      <c r="H171">
        <f>SUM(D171:G171)</f>
        <v>3506237.4794339603</v>
      </c>
    </row>
    <row r="172">
      <c r="A172">
        <v>171</v>
      </c>
      <c r="B172">
        <v>2039</v>
      </c>
      <c r="C172" t="str">
        <v>Март</v>
      </c>
      <c r="D172">
        <f>H171</f>
        <v>3506237.4794339603</v>
      </c>
      <c r="E172">
        <v>10504.837345350126</v>
      </c>
      <c r="F172">
        <v>0</v>
      </c>
      <c r="G172">
        <f>D172*0.00797414</f>
        <v>27959.230038091973</v>
      </c>
      <c r="H172">
        <f>SUM(D172:G172)</f>
        <v>3544701.5468174024</v>
      </c>
    </row>
    <row r="173">
      <c r="A173">
        <v>172</v>
      </c>
      <c r="B173">
        <v>2039</v>
      </c>
      <c r="C173" t="str">
        <v>Апр</v>
      </c>
      <c r="D173">
        <f>H172</f>
        <v>3544701.5468174024</v>
      </c>
      <c r="E173">
        <v>10539.503308589783</v>
      </c>
      <c r="F173">
        <v>0</v>
      </c>
      <c r="G173">
        <f>D173*0.00797414</f>
        <v>28265.94791287436</v>
      </c>
      <c r="H173">
        <f>SUM(D173:G173)</f>
        <v>3583506.998038866</v>
      </c>
    </row>
    <row r="174">
      <c r="A174">
        <v>173</v>
      </c>
      <c r="B174">
        <v>2039</v>
      </c>
      <c r="C174" t="str">
        <v>Май</v>
      </c>
      <c r="D174">
        <f>H173</f>
        <v>3583506.998038866</v>
      </c>
      <c r="E174">
        <v>10574.28366950813</v>
      </c>
      <c r="F174">
        <v>0</v>
      </c>
      <c r="G174">
        <f>D174*0.00797414</f>
        <v>28575.388030321283</v>
      </c>
      <c r="H174">
        <f>SUM(D174:G174)</f>
        <v>3622656.6697386955</v>
      </c>
    </row>
    <row r="175">
      <c r="A175">
        <v>174</v>
      </c>
      <c r="B175">
        <v>2039</v>
      </c>
      <c r="C175" t="str">
        <v>Июнь</v>
      </c>
      <c r="D175">
        <f>H174</f>
        <v>3622656.6697386955</v>
      </c>
      <c r="E175">
        <v>10609.178805617508</v>
      </c>
      <c r="F175">
        <v>0</v>
      </c>
      <c r="G175">
        <f>D175*0.00797414</f>
        <v>28887.573010201202</v>
      </c>
      <c r="H175">
        <f>SUM(D175:G175)</f>
        <v>3662153.421554514</v>
      </c>
    </row>
    <row r="176">
      <c r="A176">
        <v>175</v>
      </c>
      <c r="B176">
        <v>2039</v>
      </c>
      <c r="C176" t="str">
        <v>Июль</v>
      </c>
      <c r="D176">
        <f>H175</f>
        <v>3662153.421554514</v>
      </c>
      <c r="E176">
        <v>10644.189095676047</v>
      </c>
      <c r="F176">
        <v>0</v>
      </c>
      <c r="G176">
        <f>D176*0.00797414</f>
        <v>29202.5256556661</v>
      </c>
      <c r="H176">
        <f>SUM(D176:G176)</f>
        <v>3702000.136305856</v>
      </c>
    </row>
    <row r="177">
      <c r="A177">
        <v>176</v>
      </c>
      <c r="B177">
        <v>2039</v>
      </c>
      <c r="C177" t="str">
        <v>Авг</v>
      </c>
      <c r="D177">
        <f>H176</f>
        <v>3702000.136305856</v>
      </c>
      <c r="E177">
        <v>10679.314919691778</v>
      </c>
      <c r="F177">
        <v>0</v>
      </c>
      <c r="G177">
        <f>D177*0.00797414</f>
        <v>29520.26895472377</v>
      </c>
      <c r="H177">
        <f>SUM(D177:G177)</f>
        <v>3742199.7201802717</v>
      </c>
    </row>
    <row r="178">
      <c r="A178">
        <v>177</v>
      </c>
      <c r="B178">
        <v>2039</v>
      </c>
      <c r="C178" t="str">
        <v>Сен</v>
      </c>
      <c r="D178">
        <f>H177</f>
        <v>3742199.7201802717</v>
      </c>
      <c r="E178">
        <v>10714.556658926762</v>
      </c>
      <c r="F178">
        <v>0</v>
      </c>
      <c r="G178">
        <f>D178*0.00797414</f>
        <v>29840.826081721858</v>
      </c>
      <c r="H178">
        <f>SUM(D178:G178)</f>
        <v>3782755.1029209206</v>
      </c>
    </row>
    <row r="179">
      <c r="A179">
        <v>178</v>
      </c>
      <c r="B179">
        <v>2039</v>
      </c>
      <c r="C179" t="str">
        <v>Окт</v>
      </c>
      <c r="D179">
        <f>H178</f>
        <v>3782755.1029209206</v>
      </c>
      <c r="E179">
        <v>10749.914695901221</v>
      </c>
      <c r="F179">
        <v>0</v>
      </c>
      <c r="G179">
        <f>D179*0.00797414</f>
        <v>30164.220398843732</v>
      </c>
      <c r="H179">
        <f>SUM(D179:G179)</f>
        <v>3823669.2380156657</v>
      </c>
    </row>
    <row r="180">
      <c r="A180">
        <v>179</v>
      </c>
      <c r="B180">
        <v>2039</v>
      </c>
      <c r="C180" t="str">
        <v>Ноя</v>
      </c>
      <c r="D180">
        <f>H179</f>
        <v>3823669.2380156657</v>
      </c>
      <c r="E180">
        <v>10785.389414397696</v>
      </c>
      <c r="F180">
        <v>0</v>
      </c>
      <c r="G180">
        <f>D180*0.00797414</f>
        <v>30490.47545761637</v>
      </c>
      <c r="H180">
        <f>SUM(D180:G180)</f>
        <v>3864945.1028876794</v>
      </c>
    </row>
    <row r="181">
      <c r="A181">
        <v>180</v>
      </c>
      <c r="B181">
        <v>2039</v>
      </c>
      <c r="C181" t="str">
        <v>Дек</v>
      </c>
      <c r="D181">
        <f>H180</f>
        <v>3864945.1028876794</v>
      </c>
      <c r="E181">
        <v>10820.981199465208</v>
      </c>
      <c r="F181">
        <v>0</v>
      </c>
      <c r="G181">
        <f>D181*0.00797414</f>
        <v>30819.61500043026</v>
      </c>
      <c r="H181">
        <f>SUM(D181:G181)</f>
        <v>3906585.6990875746</v>
      </c>
    </row>
  </sheetData>
  <ignoredErrors>
    <ignoredError numberStoredAsText="1" sqref="A1:H1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Итоговые показатели</v>
      </c>
      <c r="B1" t="str">
        <v>Значение</v>
      </c>
    </row>
    <row r="2">
      <c r="A2" t="str">
        <v>Всего внесено клиентом</v>
      </c>
      <c r="B2">
        <v>1471724.3749767651</v>
      </c>
    </row>
    <row r="3">
      <c r="A3" t="str">
        <v>Всего получено от государства</v>
      </c>
      <c r="B3">
        <v>360000</v>
      </c>
    </row>
    <row r="4">
      <c r="A4" t="str">
        <v>Начисленный доход</v>
      </c>
      <c r="B4">
        <v>2074861.3241108065</v>
      </c>
    </row>
    <row r="5">
      <c r="A5" t="str">
        <v>Итоговый капитал</v>
      </c>
      <c r="B5">
        <v>3906585.6990875746</v>
      </c>
    </row>
    <row r="6">
      <c r="A6" t="str">
        <v>Эффективная доходность</v>
      </c>
      <c r="B6" t="str">
        <v>165.44% (абсолютная)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Входные данные</vt:lpstr>
      <vt:lpstr>Помесячный расчет</vt:lpstr>
      <vt:lpstr>Итоги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