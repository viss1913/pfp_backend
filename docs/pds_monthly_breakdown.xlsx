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ходные данные" sheetId="1" r:id="rId1"/>
    <sheet name="Помесячный расчет" sheetId="2" r:id="rId2"/>
    <sheet name="Итог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Возраст</v>
      </c>
      <c r="B2">
        <v>45</v>
      </c>
    </row>
    <row r="3">
      <c r="A3" t="str">
        <v>Доход (руб)</v>
      </c>
      <c r="B3">
        <v>120000</v>
      </c>
    </row>
    <row r="4">
      <c r="A4" t="str">
        <v>Категория софин.</v>
      </c>
      <c r="B4" t="str">
        <v>1:2</v>
      </c>
    </row>
    <row r="5">
      <c r="A5" t="str">
        <v>Взнос (руб/мес)</v>
      </c>
      <c r="B5">
        <v>6000</v>
      </c>
    </row>
    <row r="6">
      <c r="A6" t="str">
        <v>Ставка (% год)</v>
      </c>
      <c r="B6">
        <v>10</v>
      </c>
    </row>
    <row r="7">
      <c r="A7" t="str">
        <v>Срок (лет)</v>
      </c>
      <c r="B7">
        <v>15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cols>
    <col min="1" max="1" width="8.83203125" customWidth="1"/>
    <col min="2" max="2" width="6.83203125" customWidth="1"/>
    <col min="3" max="3" width="8.83203125" customWidth="1"/>
    <col min="4" max="4" width="15.83203125" customWidth="1"/>
    <col min="5" max="5" width="12.83203125" customWidth="1"/>
    <col min="6" max="6" width="18.83203125" customWidth="1"/>
    <col min="7" max="7" width="12.83203125" customWidth="1"/>
    <col min="8" max="8" width="15.83203125" customWidth="1"/>
  </cols>
  <sheetData>
    <row r="1">
      <c r="A1" t="str">
        <v>Месяц №</v>
      </c>
      <c r="B1" t="str">
        <v>Год</v>
      </c>
      <c r="C1" t="str">
        <v>Месяц</v>
      </c>
      <c r="D1" t="str">
        <v>Капитал на начало</v>
      </c>
      <c r="E1" t="str">
        <v>Взнос</v>
      </c>
      <c r="F1" t="str">
        <v>Софинансирование</v>
      </c>
      <c r="G1" t="str">
        <v>Доход (%)</v>
      </c>
      <c r="H1" t="str">
        <v>Капитал на конец</v>
      </c>
    </row>
    <row r="2">
      <c r="A2">
        <v>1</v>
      </c>
      <c r="B2">
        <v>2025</v>
      </c>
      <c r="C2" t="str">
        <v>Янв</v>
      </c>
      <c r="D2">
        <v>0</v>
      </c>
      <c r="E2">
        <v>6000</v>
      </c>
      <c r="F2">
        <v>0</v>
      </c>
      <c r="G2">
        <f>D2*0.00797414</f>
        <v>0</v>
      </c>
      <c r="H2">
        <f>SUM(D2:G2)</f>
        <v>6000</v>
      </c>
    </row>
    <row r="3">
      <c r="A3">
        <v>2</v>
      </c>
      <c r="B3">
        <v>2025</v>
      </c>
      <c r="C3" t="str">
        <v>Фев</v>
      </c>
      <c r="D3">
        <f>H2</f>
        <v>6000</v>
      </c>
      <c r="E3">
        <v>6000</v>
      </c>
      <c r="F3">
        <v>0</v>
      </c>
      <c r="G3">
        <f>D3*0.00797414</f>
        <v>47.84484257342258</v>
      </c>
      <c r="H3">
        <f>SUM(D3:G3)</f>
        <v>12047.844842573422</v>
      </c>
    </row>
    <row r="4">
      <c r="A4">
        <v>3</v>
      </c>
      <c r="B4">
        <v>2025</v>
      </c>
      <c r="C4" t="str">
        <v>Март</v>
      </c>
      <c r="D4">
        <f>H3</f>
        <v>12047.844842573422</v>
      </c>
      <c r="E4">
        <v>6000</v>
      </c>
      <c r="F4">
        <v>0</v>
      </c>
      <c r="G4">
        <f>D4*0.00797414</f>
        <v>96.07120664032443</v>
      </c>
      <c r="H4">
        <f>SUM(D4:G4)</f>
        <v>18143.916049213745</v>
      </c>
    </row>
    <row r="5">
      <c r="A5">
        <v>4</v>
      </c>
      <c r="B5">
        <v>2025</v>
      </c>
      <c r="C5" t="str">
        <v>Апр</v>
      </c>
      <c r="D5">
        <f>H4</f>
        <v>18143.916049213745</v>
      </c>
      <c r="E5">
        <v>6000</v>
      </c>
      <c r="F5">
        <v>0</v>
      </c>
      <c r="G5">
        <f>D5*0.00797414</f>
        <v>144.6821345066712</v>
      </c>
      <c r="H5">
        <f>SUM(D5:G5)</f>
        <v>24288.598183720416</v>
      </c>
    </row>
    <row r="6">
      <c r="A6">
        <v>5</v>
      </c>
      <c r="B6">
        <v>2025</v>
      </c>
      <c r="C6" t="str">
        <v>Май</v>
      </c>
      <c r="D6">
        <f>H5</f>
        <v>24288.598183720416</v>
      </c>
      <c r="E6">
        <v>6000</v>
      </c>
      <c r="F6">
        <v>0</v>
      </c>
      <c r="G6">
        <f>D6*0.00797414</f>
        <v>193.6806927382035</v>
      </c>
      <c r="H6">
        <f>SUM(D6:G6)</f>
        <v>30482.27887645862</v>
      </c>
    </row>
    <row r="7">
      <c r="A7">
        <v>6</v>
      </c>
      <c r="B7">
        <v>2025</v>
      </c>
      <c r="C7" t="str">
        <v>Июнь</v>
      </c>
      <c r="D7">
        <f>H6</f>
        <v>30482.27887645862</v>
      </c>
      <c r="E7">
        <v>6000</v>
      </c>
      <c r="F7">
        <v>0</v>
      </c>
      <c r="G7">
        <f>D7*0.00797414</f>
        <v>243.0699723538879</v>
      </c>
      <c r="H7">
        <f>SUM(D7:G7)</f>
        <v>36725.34884881251</v>
      </c>
    </row>
    <row r="8">
      <c r="A8">
        <v>7</v>
      </c>
      <c r="B8">
        <v>2025</v>
      </c>
      <c r="C8" t="str">
        <v>Июль</v>
      </c>
      <c r="D8">
        <f>H7</f>
        <v>36725.34884881251</v>
      </c>
      <c r="E8">
        <v>6000</v>
      </c>
      <c r="F8">
        <v>0</v>
      </c>
      <c r="G8">
        <f>D8*0.00797414</f>
        <v>292.85308902091015</v>
      </c>
      <c r="H8">
        <f>SUM(D8:G8)</f>
        <v>43018.201937833415</v>
      </c>
    </row>
    <row r="9">
      <c r="A9">
        <v>8</v>
      </c>
      <c r="B9">
        <v>2025</v>
      </c>
      <c r="C9" t="str">
        <v>Авг</v>
      </c>
      <c r="D9">
        <f>H8</f>
        <v>43018.201937833415</v>
      </c>
      <c r="E9">
        <v>6000</v>
      </c>
      <c r="F9">
        <v>0</v>
      </c>
      <c r="G9">
        <f>D9*0.00797414</f>
        <v>343.0331832512237</v>
      </c>
      <c r="H9">
        <f>SUM(D9:G9)</f>
        <v>49361.23512108464</v>
      </c>
    </row>
    <row r="10">
      <c r="A10">
        <v>9</v>
      </c>
      <c r="B10">
        <v>2025</v>
      </c>
      <c r="C10" t="str">
        <v>Сен</v>
      </c>
      <c r="D10">
        <f>H9</f>
        <v>49361.23512108464</v>
      </c>
      <c r="E10">
        <v>6000</v>
      </c>
      <c r="F10">
        <v>0</v>
      </c>
      <c r="G10">
        <f>D10*0.00797414</f>
        <v>393.6134205996654</v>
      </c>
      <c r="H10">
        <f>SUM(D10:G10)</f>
        <v>55754.8485416843</v>
      </c>
    </row>
    <row r="11">
      <c r="A11">
        <v>10</v>
      </c>
      <c r="B11">
        <v>2025</v>
      </c>
      <c r="C11" t="str">
        <v>Окт</v>
      </c>
      <c r="D11">
        <f>H10</f>
        <v>55754.8485416843</v>
      </c>
      <c r="E11">
        <v>6000</v>
      </c>
      <c r="F11">
        <v>0</v>
      </c>
      <c r="G11">
        <f>D11*0.00797414</f>
        <v>444.5969918636509</v>
      </c>
      <c r="H11">
        <f>SUM(D11:G11)</f>
        <v>62199.44553354795</v>
      </c>
    </row>
    <row r="12">
      <c r="A12">
        <v>11</v>
      </c>
      <c r="B12">
        <v>2025</v>
      </c>
      <c r="C12" t="str">
        <v>Ноя</v>
      </c>
      <c r="D12">
        <f>H11</f>
        <v>62199.44553354795</v>
      </c>
      <c r="E12">
        <v>6000</v>
      </c>
      <c r="F12">
        <v>0</v>
      </c>
      <c r="G12">
        <f>D12*0.00797414</f>
        <v>495.9871132844624</v>
      </c>
      <c r="H12">
        <f>SUM(D12:G12)</f>
        <v>68695.43264683241</v>
      </c>
    </row>
    <row r="13">
      <c r="A13">
        <v>12</v>
      </c>
      <c r="B13">
        <v>2025</v>
      </c>
      <c r="C13" t="str">
        <v>Дек</v>
      </c>
      <c r="D13">
        <f>H12</f>
        <v>68695.43264683241</v>
      </c>
      <c r="E13">
        <v>6000</v>
      </c>
      <c r="F13">
        <v>0</v>
      </c>
      <c r="G13">
        <f>D13*0.00797414</f>
        <v>547.7870267501419</v>
      </c>
      <c r="H13">
        <f>SUM(D13:G13)</f>
        <v>75243.21967358256</v>
      </c>
    </row>
    <row r="14">
      <c r="A14">
        <v>13</v>
      </c>
      <c r="B14">
        <v>2026</v>
      </c>
      <c r="C14" t="str">
        <v>Янв</v>
      </c>
      <c r="D14">
        <f>H13</f>
        <v>75243.21967358256</v>
      </c>
      <c r="E14">
        <v>6000</v>
      </c>
      <c r="F14">
        <v>0</v>
      </c>
      <c r="G14">
        <f>D14*0.00797414</f>
        <v>600.0000000000017</v>
      </c>
      <c r="H14">
        <f>SUM(D14:G14)</f>
        <v>81843.21967358256</v>
      </c>
    </row>
    <row r="15">
      <c r="A15">
        <v>14</v>
      </c>
      <c r="B15">
        <v>2026</v>
      </c>
      <c r="C15" t="str">
        <v>Фев</v>
      </c>
      <c r="D15">
        <f>H14</f>
        <v>81843.21967358256</v>
      </c>
      <c r="E15">
        <v>6000</v>
      </c>
      <c r="F15">
        <v>0</v>
      </c>
      <c r="G15">
        <f>D15*0.00797414</f>
        <v>652.6293268307666</v>
      </c>
      <c r="H15">
        <f>SUM(D15:G15)</f>
        <v>88495.84900041332</v>
      </c>
    </row>
    <row r="16">
      <c r="A16">
        <v>15</v>
      </c>
      <c r="B16">
        <v>2026</v>
      </c>
      <c r="C16" t="str">
        <v>Март</v>
      </c>
      <c r="D16">
        <f>H15</f>
        <v>88495.84900041332</v>
      </c>
      <c r="E16">
        <v>6000</v>
      </c>
      <c r="F16">
        <v>0</v>
      </c>
      <c r="G16">
        <f>D16*0.00797414</f>
        <v>705.6783273043586</v>
      </c>
      <c r="H16">
        <f>SUM(D16:G16)</f>
        <v>95201.52732771767</v>
      </c>
    </row>
    <row r="17">
      <c r="A17">
        <v>16</v>
      </c>
      <c r="B17">
        <v>2026</v>
      </c>
      <c r="C17" t="str">
        <v>Апр</v>
      </c>
      <c r="D17">
        <f>H16</f>
        <v>95201.52732771767</v>
      </c>
      <c r="E17">
        <v>6000</v>
      </c>
      <c r="F17">
        <v>0</v>
      </c>
      <c r="G17">
        <f>D17*0.00797414</f>
        <v>759.15034795734</v>
      </c>
      <c r="H17">
        <f>SUM(D17:G17)</f>
        <v>101960.67767567502</v>
      </c>
    </row>
    <row r="18">
      <c r="A18">
        <v>17</v>
      </c>
      <c r="B18">
        <v>2026</v>
      </c>
      <c r="C18" t="str">
        <v>Май</v>
      </c>
      <c r="D18">
        <f>H17</f>
        <v>101960.67767567502</v>
      </c>
      <c r="E18">
        <v>6000</v>
      </c>
      <c r="F18">
        <v>0</v>
      </c>
      <c r="G18">
        <f>D18*0.00797414</f>
        <v>813.0487620120257</v>
      </c>
      <c r="H18">
        <f>SUM(D18:G18)</f>
        <v>108773.72643768704</v>
      </c>
    </row>
    <row r="19">
      <c r="A19">
        <v>18</v>
      </c>
      <c r="B19">
        <v>2026</v>
      </c>
      <c r="C19" t="str">
        <v>Июнь</v>
      </c>
      <c r="D19">
        <f>H18</f>
        <v>108773.72643768704</v>
      </c>
      <c r="E19">
        <v>6000</v>
      </c>
      <c r="F19">
        <v>0</v>
      </c>
      <c r="G19">
        <f>D19*0.00797414</f>
        <v>867.3769695892785</v>
      </c>
      <c r="H19">
        <f>SUM(D19:G19)</f>
        <v>115641.10340727633</v>
      </c>
    </row>
    <row r="20">
      <c r="A20">
        <v>19</v>
      </c>
      <c r="B20">
        <v>2026</v>
      </c>
      <c r="C20" t="str">
        <v>Июль</v>
      </c>
      <c r="D20">
        <f>H19</f>
        <v>115641.10340727633</v>
      </c>
      <c r="E20">
        <v>6000</v>
      </c>
      <c r="F20">
        <v>0</v>
      </c>
      <c r="G20">
        <f>D20*0.00797414</f>
        <v>922.138397923003</v>
      </c>
      <c r="H20">
        <f>SUM(D20:G20)</f>
        <v>122563.24180519933</v>
      </c>
    </row>
    <row r="21">
      <c r="A21">
        <v>20</v>
      </c>
      <c r="B21">
        <v>2026</v>
      </c>
      <c r="C21" t="str">
        <v>Авг</v>
      </c>
      <c r="D21">
        <f>H20</f>
        <v>122563.24180519933</v>
      </c>
      <c r="E21">
        <v>6000</v>
      </c>
      <c r="F21">
        <v>36000</v>
      </c>
      <c r="G21">
        <f>D21*0.00797414</f>
        <v>977.3365015763479</v>
      </c>
      <c r="H21">
        <f>SUM(D21:G21)</f>
        <v>165540.57830677566</v>
      </c>
    </row>
    <row r="22">
      <c r="A22">
        <v>21</v>
      </c>
      <c r="B22">
        <v>2026</v>
      </c>
      <c r="C22" t="str">
        <v>Сен</v>
      </c>
      <c r="D22">
        <f>H21</f>
        <v>165540.57830677566</v>
      </c>
      <c r="E22">
        <v>6000</v>
      </c>
      <c r="F22">
        <v>0</v>
      </c>
      <c r="G22">
        <f>D22*0.00797414</f>
        <v>1320.0438181001691</v>
      </c>
      <c r="H22">
        <f>SUM(D22:G22)</f>
        <v>172860.62212487584</v>
      </c>
    </row>
    <row r="23">
      <c r="A23">
        <v>22</v>
      </c>
      <c r="B23">
        <v>2026</v>
      </c>
      <c r="C23" t="str">
        <v>Окт</v>
      </c>
      <c r="D23">
        <f>H22</f>
        <v>172860.62212487584</v>
      </c>
      <c r="E23">
        <v>6000</v>
      </c>
      <c r="F23">
        <v>0</v>
      </c>
      <c r="G23">
        <f>D23*0.00797414</f>
        <v>1378.414875451429</v>
      </c>
      <c r="H23">
        <f>SUM(D23:G23)</f>
        <v>180239.03700032725</v>
      </c>
    </row>
    <row r="24">
      <c r="A24">
        <v>23</v>
      </c>
      <c r="B24">
        <v>2026</v>
      </c>
      <c r="C24" t="str">
        <v>Ноя</v>
      </c>
      <c r="D24">
        <f>H23</f>
        <v>180239.03700032725</v>
      </c>
      <c r="E24">
        <v>6000</v>
      </c>
      <c r="F24">
        <v>0</v>
      </c>
      <c r="G24">
        <f>D24*0.00797414</f>
        <v>1437.251391810991</v>
      </c>
      <c r="H24">
        <f>SUM(D24:G24)</f>
        <v>187676.28839213826</v>
      </c>
    </row>
    <row r="25">
      <c r="A25">
        <v>24</v>
      </c>
      <c r="B25">
        <v>2026</v>
      </c>
      <c r="C25" t="str">
        <v>Дек</v>
      </c>
      <c r="D25">
        <f>H24</f>
        <v>187676.28839213826</v>
      </c>
      <c r="E25">
        <v>6000</v>
      </c>
      <c r="F25">
        <v>0</v>
      </c>
      <c r="G25">
        <f>D25*0.00797414</f>
        <v>1496.557078814352</v>
      </c>
      <c r="H25">
        <f>SUM(D25:G25)</f>
        <v>195172.8454709526</v>
      </c>
    </row>
    <row r="26">
      <c r="A26">
        <v>25</v>
      </c>
      <c r="B26">
        <v>2027</v>
      </c>
      <c r="C26" t="str">
        <v>Янв</v>
      </c>
      <c r="D26">
        <f>H25</f>
        <v>195172.8454709526</v>
      </c>
      <c r="E26">
        <v>6000</v>
      </c>
      <c r="F26">
        <v>0</v>
      </c>
      <c r="G26">
        <f>D26*0.00797414</f>
        <v>1556.33567769411</v>
      </c>
      <c r="H26">
        <f>SUM(D26:G26)</f>
        <v>202729.18114864672</v>
      </c>
    </row>
    <row r="27">
      <c r="A27">
        <v>26</v>
      </c>
      <c r="B27">
        <v>2027</v>
      </c>
      <c r="C27" t="str">
        <v>Фев</v>
      </c>
      <c r="D27">
        <f>H26</f>
        <v>202729.18114864672</v>
      </c>
      <c r="E27">
        <v>6000</v>
      </c>
      <c r="F27">
        <v>0</v>
      </c>
      <c r="G27">
        <f>D27*0.00797414</f>
        <v>1616.5909595159787</v>
      </c>
      <c r="H27">
        <f>SUM(D27:G27)</f>
        <v>210345.7721081627</v>
      </c>
    </row>
    <row r="28">
      <c r="A28">
        <v>27</v>
      </c>
      <c r="B28">
        <v>2027</v>
      </c>
      <c r="C28" t="str">
        <v>Март</v>
      </c>
      <c r="D28">
        <f>H27</f>
        <v>210345.7721081627</v>
      </c>
      <c r="E28">
        <v>6000</v>
      </c>
      <c r="F28">
        <v>0</v>
      </c>
      <c r="G28">
        <f>D28*0.00797414</f>
        <v>1677.3267254166778</v>
      </c>
      <c r="H28">
        <f>SUM(D28:G28)</f>
        <v>218023.09883357937</v>
      </c>
    </row>
    <row r="29">
      <c r="A29">
        <v>28</v>
      </c>
      <c r="B29">
        <v>2027</v>
      </c>
      <c r="C29" t="str">
        <v>Апр</v>
      </c>
      <c r="D29">
        <f>H28</f>
        <v>218023.09883357937</v>
      </c>
      <c r="E29">
        <v>6000</v>
      </c>
      <c r="F29">
        <v>0</v>
      </c>
      <c r="G29">
        <f>D29*0.00797414</f>
        <v>1738.5468068437265</v>
      </c>
      <c r="H29">
        <f>SUM(D29:G29)</f>
        <v>225761.64564042308</v>
      </c>
    </row>
    <row r="30">
      <c r="A30">
        <v>29</v>
      </c>
      <c r="B30">
        <v>2027</v>
      </c>
      <c r="C30" t="str">
        <v>Май</v>
      </c>
      <c r="D30">
        <f>H29</f>
        <v>225761.64564042308</v>
      </c>
      <c r="E30">
        <v>6000</v>
      </c>
      <c r="F30">
        <v>0</v>
      </c>
      <c r="G30">
        <f>D30*0.00797414</f>
        <v>1800.255065797143</v>
      </c>
      <c r="H30">
        <f>SUM(D30:G30)</f>
        <v>233561.9007062202</v>
      </c>
    </row>
    <row r="31">
      <c r="A31">
        <v>30</v>
      </c>
      <c r="B31">
        <v>2027</v>
      </c>
      <c r="C31" t="str">
        <v>Июнь</v>
      </c>
      <c r="D31">
        <f>H30</f>
        <v>233561.9007062202</v>
      </c>
      <c r="E31">
        <v>6000</v>
      </c>
      <c r="F31">
        <v>0</v>
      </c>
      <c r="G31">
        <f>D31*0.00797414</f>
        <v>1862.4553950730772</v>
      </c>
      <c r="H31">
        <f>SUM(D31:G31)</f>
        <v>241424.3561012933</v>
      </c>
    </row>
    <row r="32">
      <c r="A32">
        <v>31</v>
      </c>
      <c r="B32">
        <v>2027</v>
      </c>
      <c r="C32" t="str">
        <v>Июль</v>
      </c>
      <c r="D32">
        <f>H31</f>
        <v>241424.3561012933</v>
      </c>
      <c r="E32">
        <v>6000</v>
      </c>
      <c r="F32">
        <v>0</v>
      </c>
      <c r="G32">
        <f>D32*0.00797414</f>
        <v>1925.151718509382</v>
      </c>
      <c r="H32">
        <f>SUM(D32:G32)</f>
        <v>249349.50781980267</v>
      </c>
    </row>
    <row r="33">
      <c r="A33">
        <v>32</v>
      </c>
      <c r="B33">
        <v>2027</v>
      </c>
      <c r="C33" t="str">
        <v>Авг</v>
      </c>
      <c r="D33">
        <f>H32</f>
        <v>249349.50781980267</v>
      </c>
      <c r="E33">
        <v>6000</v>
      </c>
      <c r="F33">
        <v>36000</v>
      </c>
      <c r="G33">
        <f>D33*0.00797414</f>
        <v>1988.3479912331438</v>
      </c>
      <c r="H33">
        <f>SUM(D33:G33)</f>
        <v>293337.85581103584</v>
      </c>
    </row>
    <row r="34">
      <c r="A34">
        <v>33</v>
      </c>
      <c r="B34">
        <v>2027</v>
      </c>
      <c r="C34" t="str">
        <v>Сен</v>
      </c>
      <c r="D34">
        <f>H33</f>
        <v>293337.85581103584</v>
      </c>
      <c r="E34">
        <v>6000</v>
      </c>
      <c r="F34">
        <v>0</v>
      </c>
      <c r="G34">
        <f>D34*0.00797414</f>
        <v>2339.117255350724</v>
      </c>
      <c r="H34">
        <f>SUM(D34:G34)</f>
        <v>301676.9730663866</v>
      </c>
    </row>
    <row r="35">
      <c r="A35">
        <v>34</v>
      </c>
      <c r="B35">
        <v>2027</v>
      </c>
      <c r="C35" t="str">
        <v>Окт</v>
      </c>
      <c r="D35">
        <f>H34</f>
        <v>301676.9730663866</v>
      </c>
      <c r="E35">
        <v>6000</v>
      </c>
      <c r="F35">
        <v>0</v>
      </c>
      <c r="G35">
        <f>D35*0.00797414</f>
        <v>2405.6145473979855</v>
      </c>
      <c r="H35">
        <f>SUM(D35:G35)</f>
        <v>310082.5876137846</v>
      </c>
    </row>
    <row r="36">
      <c r="A36">
        <v>35</v>
      </c>
      <c r="B36">
        <v>2027</v>
      </c>
      <c r="C36" t="str">
        <v>Ноя</v>
      </c>
      <c r="D36">
        <f>H35</f>
        <v>310082.5876137846</v>
      </c>
      <c r="E36">
        <v>6000</v>
      </c>
      <c r="F36">
        <v>0</v>
      </c>
      <c r="G36">
        <f>D36*0.00797414</f>
        <v>2472.6420981901733</v>
      </c>
      <c r="H36">
        <f>SUM(D36:G36)</f>
        <v>318555.22971197474</v>
      </c>
    </row>
    <row r="37">
      <c r="A37">
        <v>36</v>
      </c>
      <c r="B37">
        <v>2027</v>
      </c>
      <c r="C37" t="str">
        <v>Дек</v>
      </c>
      <c r="D37">
        <f>H36</f>
        <v>318555.22971197474</v>
      </c>
      <c r="E37">
        <v>6000</v>
      </c>
      <c r="F37">
        <v>0</v>
      </c>
      <c r="G37">
        <f>D37*0.00797414</f>
        <v>2540.2041360849835</v>
      </c>
      <c r="H37">
        <f>SUM(D37:G37)</f>
        <v>327095.43384805974</v>
      </c>
    </row>
    <row r="38">
      <c r="A38">
        <v>37</v>
      </c>
      <c r="B38">
        <v>2028</v>
      </c>
      <c r="C38" t="str">
        <v>Янв</v>
      </c>
      <c r="D38">
        <f>H37</f>
        <v>327095.43384805974</v>
      </c>
      <c r="E38">
        <v>6000</v>
      </c>
      <c r="F38">
        <v>0</v>
      </c>
      <c r="G38">
        <f>D38*0.00797414</f>
        <v>2608.30492315763</v>
      </c>
      <c r="H38">
        <f>SUM(D38:G38)</f>
        <v>335703.73877121735</v>
      </c>
    </row>
    <row r="39">
      <c r="A39">
        <v>38</v>
      </c>
      <c r="B39">
        <v>2028</v>
      </c>
      <c r="C39" t="str">
        <v>Фев</v>
      </c>
      <c r="D39">
        <f>H38</f>
        <v>335703.73877121735</v>
      </c>
      <c r="E39">
        <v>6000</v>
      </c>
      <c r="F39">
        <v>0</v>
      </c>
      <c r="G39">
        <f>D39*0.00797414</f>
        <v>2676.9487554697125</v>
      </c>
      <c r="H39">
        <f>SUM(D39:G39)</f>
        <v>344380.68752668705</v>
      </c>
    </row>
    <row r="40">
      <c r="A40">
        <v>39</v>
      </c>
      <c r="B40">
        <v>2028</v>
      </c>
      <c r="C40" t="str">
        <v>Март</v>
      </c>
      <c r="D40">
        <f>H39</f>
        <v>344380.68752668705</v>
      </c>
      <c r="E40">
        <v>6000</v>
      </c>
      <c r="F40">
        <v>0</v>
      </c>
      <c r="G40">
        <f>D40*0.00797414</f>
        <v>2746.1399633402293</v>
      </c>
      <c r="H40">
        <f>SUM(D40:G40)</f>
        <v>353126.8274900273</v>
      </c>
    </row>
    <row r="41">
      <c r="A41">
        <v>40</v>
      </c>
      <c r="B41">
        <v>2028</v>
      </c>
      <c r="C41" t="str">
        <v>Апр</v>
      </c>
      <c r="D41">
        <f>H40</f>
        <v>353126.8274900273</v>
      </c>
      <c r="E41">
        <v>6000</v>
      </c>
      <c r="F41">
        <v>0</v>
      </c>
      <c r="G41">
        <f>D41*0.00797414</f>
        <v>2815.8829116187517</v>
      </c>
      <c r="H41">
        <f>SUM(D41:G41)</f>
        <v>361942.71040164604</v>
      </c>
    </row>
    <row r="42">
      <c r="A42">
        <v>41</v>
      </c>
      <c r="B42">
        <v>2028</v>
      </c>
      <c r="C42" t="str">
        <v>Май</v>
      </c>
      <c r="D42">
        <f>H41</f>
        <v>361942.71040164604</v>
      </c>
      <c r="E42">
        <v>6000</v>
      </c>
      <c r="F42">
        <v>0</v>
      </c>
      <c r="G42">
        <f>D42*0.00797414</f>
        <v>2886.181999960773</v>
      </c>
      <c r="H42">
        <f>SUM(D42:G42)</f>
        <v>370828.89240160683</v>
      </c>
    </row>
    <row r="43">
      <c r="A43">
        <v>42</v>
      </c>
      <c r="B43">
        <v>2028</v>
      </c>
      <c r="C43" t="str">
        <v>Июнь</v>
      </c>
      <c r="D43">
        <f>H42</f>
        <v>370828.89240160683</v>
      </c>
      <c r="E43">
        <v>6000</v>
      </c>
      <c r="F43">
        <v>0</v>
      </c>
      <c r="G43">
        <f>D43*0.00797414</f>
        <v>2957.041663105257</v>
      </c>
      <c r="H43">
        <f>SUM(D43:G43)</f>
        <v>379785.9340647121</v>
      </c>
    </row>
    <row r="44">
      <c r="A44">
        <v>43</v>
      </c>
      <c r="B44">
        <v>2028</v>
      </c>
      <c r="C44" t="str">
        <v>Июль</v>
      </c>
      <c r="D44">
        <f>H43</f>
        <v>379785.9340647121</v>
      </c>
      <c r="E44">
        <v>6000</v>
      </c>
      <c r="F44">
        <v>0</v>
      </c>
      <c r="G44">
        <f>D44*0.00797414</f>
        <v>3028.4663711544</v>
      </c>
      <c r="H44">
        <f>SUM(D44:G44)</f>
        <v>388814.4004358665</v>
      </c>
    </row>
    <row r="45">
      <c r="A45">
        <v>44</v>
      </c>
      <c r="B45">
        <v>2028</v>
      </c>
      <c r="C45" t="str">
        <v>Авг</v>
      </c>
      <c r="D45">
        <f>H44</f>
        <v>388814.4004358665</v>
      </c>
      <c r="E45">
        <v>6000</v>
      </c>
      <c r="F45">
        <v>36000</v>
      </c>
      <c r="G45">
        <f>D45*0.00797414</f>
        <v>3100.4606298556205</v>
      </c>
      <c r="H45">
        <f>SUM(D45:G45)</f>
        <v>433914.8610657221</v>
      </c>
    </row>
    <row r="46">
      <c r="A46">
        <v>45</v>
      </c>
      <c r="B46">
        <v>2028</v>
      </c>
      <c r="C46" t="str">
        <v>Сен</v>
      </c>
      <c r="D46">
        <f>H45</f>
        <v>433914.8610657221</v>
      </c>
      <c r="E46">
        <v>6000</v>
      </c>
      <c r="F46">
        <v>0</v>
      </c>
      <c r="G46">
        <f>D46*0.00797414</f>
        <v>3460.0980363263347</v>
      </c>
      <c r="H46">
        <f>SUM(D46:G46)</f>
        <v>443374.9591020485</v>
      </c>
    </row>
    <row r="47">
      <c r="A47">
        <v>46</v>
      </c>
      <c r="B47">
        <v>2028</v>
      </c>
      <c r="C47" t="str">
        <v>Окт</v>
      </c>
      <c r="D47">
        <f>H46</f>
        <v>443374.9591020485</v>
      </c>
      <c r="E47">
        <v>6000</v>
      </c>
      <c r="F47">
        <v>0</v>
      </c>
      <c r="G47">
        <f>D47*0.00797414</f>
        <v>3535.534186539198</v>
      </c>
      <c r="H47">
        <f>SUM(D47:G47)</f>
        <v>452910.49328858766</v>
      </c>
    </row>
    <row r="48">
      <c r="A48">
        <v>47</v>
      </c>
      <c r="B48">
        <v>2028</v>
      </c>
      <c r="C48" t="str">
        <v>Ноя</v>
      </c>
      <c r="D48">
        <f>H47</f>
        <v>452910.49328858766</v>
      </c>
      <c r="E48">
        <v>6000</v>
      </c>
      <c r="F48">
        <v>0</v>
      </c>
      <c r="G48">
        <f>D48*0.00797414</f>
        <v>3611.571875207274</v>
      </c>
      <c r="H48">
        <f>SUM(D48:G48)</f>
        <v>462522.06516379496</v>
      </c>
    </row>
    <row r="49">
      <c r="A49">
        <v>48</v>
      </c>
      <c r="B49">
        <v>2028</v>
      </c>
      <c r="C49" t="str">
        <v>Дек</v>
      </c>
      <c r="D49">
        <f>H48</f>
        <v>462522.06516379496</v>
      </c>
      <c r="E49">
        <v>6000</v>
      </c>
      <c r="F49">
        <v>0</v>
      </c>
      <c r="G49">
        <f>D49*0.00797414</f>
        <v>3688.215899082679</v>
      </c>
      <c r="H49">
        <f>SUM(D49:G49)</f>
        <v>472210.2810628776</v>
      </c>
    </row>
    <row r="50">
      <c r="A50">
        <v>49</v>
      </c>
      <c r="B50">
        <v>2029</v>
      </c>
      <c r="C50" t="str">
        <v>Янв</v>
      </c>
      <c r="D50">
        <f>H49</f>
        <v>472210.2810628776</v>
      </c>
      <c r="E50">
        <v>6000</v>
      </c>
      <c r="F50">
        <v>0</v>
      </c>
      <c r="G50">
        <f>D50*0.00797414</f>
        <v>3765.471093167502</v>
      </c>
      <c r="H50">
        <f>SUM(D50:G50)</f>
        <v>481975.7521560451</v>
      </c>
    </row>
    <row r="51">
      <c r="A51">
        <v>50</v>
      </c>
      <c r="B51">
        <v>2029</v>
      </c>
      <c r="C51" t="str">
        <v>Фев</v>
      </c>
      <c r="D51">
        <f>H50</f>
        <v>481975.7521560451</v>
      </c>
      <c r="E51">
        <v>6000</v>
      </c>
      <c r="F51">
        <v>0</v>
      </c>
      <c r="G51">
        <f>D51*0.00797414</f>
        <v>3843.34233101882</v>
      </c>
      <c r="H51">
        <f>SUM(D51:G51)</f>
        <v>491819.09448706394</v>
      </c>
    </row>
    <row r="52">
      <c r="A52">
        <v>51</v>
      </c>
      <c r="B52">
        <v>2029</v>
      </c>
      <c r="C52" t="str">
        <v>Март</v>
      </c>
      <c r="D52">
        <f>H51</f>
        <v>491819.09448706394</v>
      </c>
      <c r="E52">
        <v>6000</v>
      </c>
      <c r="F52">
        <v>0</v>
      </c>
      <c r="G52">
        <f>D52*0.00797414</f>
        <v>3921.834525056137</v>
      </c>
      <c r="H52">
        <f>SUM(D52:G52)</f>
        <v>501740.92901212006</v>
      </c>
    </row>
    <row r="53">
      <c r="A53">
        <v>52</v>
      </c>
      <c r="B53">
        <v>2029</v>
      </c>
      <c r="C53" t="str">
        <v>Апр</v>
      </c>
      <c r="D53">
        <f>H52</f>
        <v>501740.92901212006</v>
      </c>
      <c r="E53">
        <v>6000</v>
      </c>
      <c r="F53">
        <v>0</v>
      </c>
      <c r="G53">
        <f>D53*0.00797414</f>
        <v>4000.9526268712802</v>
      </c>
      <c r="H53">
        <f>SUM(D53:G53)</f>
        <v>511741.88163899136</v>
      </c>
    </row>
    <row r="54">
      <c r="A54">
        <v>53</v>
      </c>
      <c r="B54">
        <v>2029</v>
      </c>
      <c r="C54" t="str">
        <v>Май</v>
      </c>
      <c r="D54">
        <f>H53</f>
        <v>511741.88163899136</v>
      </c>
      <c r="E54">
        <v>6000</v>
      </c>
      <c r="F54">
        <v>0</v>
      </c>
      <c r="G54">
        <f>D54*0.00797414</f>
        <v>4080.701627540766</v>
      </c>
      <c r="H54">
        <f>SUM(D54:G54)</f>
        <v>521822.5832665321</v>
      </c>
    </row>
    <row r="55">
      <c r="A55">
        <v>54</v>
      </c>
      <c r="B55">
        <v>2029</v>
      </c>
      <c r="C55" t="str">
        <v>Июнь</v>
      </c>
      <c r="D55">
        <f>H54</f>
        <v>521822.5832665321</v>
      </c>
      <c r="E55">
        <v>6000</v>
      </c>
      <c r="F55">
        <v>0</v>
      </c>
      <c r="G55">
        <f>D55*0.00797414</f>
        <v>4161.0865579406545</v>
      </c>
      <c r="H55">
        <f>SUM(D55:G55)</f>
        <v>531983.6698244727</v>
      </c>
    </row>
    <row r="56">
      <c r="A56">
        <v>55</v>
      </c>
      <c r="B56">
        <v>2029</v>
      </c>
      <c r="C56" t="str">
        <v>Июль</v>
      </c>
      <c r="D56">
        <f>H55</f>
        <v>531983.6698244727</v>
      </c>
      <c r="E56">
        <v>6000</v>
      </c>
      <c r="F56">
        <v>0</v>
      </c>
      <c r="G56">
        <f>D56*0.00797414</f>
        <v>4242.112489063919</v>
      </c>
      <c r="H56">
        <f>SUM(D56:G56)</f>
        <v>542225.7823135366</v>
      </c>
    </row>
    <row r="57">
      <c r="A57">
        <v>56</v>
      </c>
      <c r="B57">
        <v>2029</v>
      </c>
      <c r="C57" t="str">
        <v>Авг</v>
      </c>
      <c r="D57">
        <f>H56</f>
        <v>542225.7823135366</v>
      </c>
      <c r="E57">
        <v>6000</v>
      </c>
      <c r="F57">
        <v>36000</v>
      </c>
      <c r="G57">
        <f>D57*0.00797414</f>
        <v>4323.784532340344</v>
      </c>
      <c r="H57">
        <f>SUM(D57:G57)</f>
        <v>588549.566845877</v>
      </c>
    </row>
    <row r="58">
      <c r="A58">
        <v>57</v>
      </c>
      <c r="B58">
        <v>2029</v>
      </c>
      <c r="C58" t="str">
        <v>Сен</v>
      </c>
      <c r="D58">
        <f>H57</f>
        <v>588549.566845877</v>
      </c>
      <c r="E58">
        <v>6000</v>
      </c>
      <c r="F58">
        <v>0</v>
      </c>
      <c r="G58">
        <f>D58*0.00797414</f>
        <v>4693.176895399506</v>
      </c>
      <c r="H58">
        <f>SUM(D58:G58)</f>
        <v>599242.7437412764</v>
      </c>
    </row>
    <row r="59">
      <c r="A59">
        <v>58</v>
      </c>
      <c r="B59">
        <v>2029</v>
      </c>
      <c r="C59" t="str">
        <v>Окт</v>
      </c>
      <c r="D59">
        <f>H58</f>
        <v>599242.7437412764</v>
      </c>
      <c r="E59">
        <v>6000</v>
      </c>
      <c r="F59">
        <v>0</v>
      </c>
      <c r="G59">
        <f>D59*0.00797414</f>
        <v>4778.445789594531</v>
      </c>
      <c r="H59">
        <f>SUM(D59:G59)</f>
        <v>610021.189530871</v>
      </c>
    </row>
    <row r="60">
      <c r="A60">
        <v>59</v>
      </c>
      <c r="B60">
        <v>2029</v>
      </c>
      <c r="C60" t="str">
        <v>Ноя</v>
      </c>
      <c r="D60">
        <f>H59</f>
        <v>610021.189530871</v>
      </c>
      <c r="E60">
        <v>6000</v>
      </c>
      <c r="F60">
        <v>0</v>
      </c>
      <c r="G60">
        <f>D60*0.00797414</f>
        <v>4864.394629926084</v>
      </c>
      <c r="H60">
        <f>SUM(D60:G60)</f>
        <v>620885.5841607971</v>
      </c>
    </row>
    <row r="61">
      <c r="A61">
        <v>60</v>
      </c>
      <c r="B61">
        <v>2029</v>
      </c>
      <c r="C61" t="str">
        <v>Дек</v>
      </c>
      <c r="D61">
        <f>H60</f>
        <v>620885.5841607971</v>
      </c>
      <c r="E61">
        <v>6000</v>
      </c>
      <c r="F61">
        <v>0</v>
      </c>
      <c r="G61">
        <f>D61*0.00797414</f>
        <v>4951.028838380143</v>
      </c>
      <c r="H61">
        <f>SUM(D61:G61)</f>
        <v>631836.6129991772</v>
      </c>
    </row>
    <row r="62">
      <c r="A62">
        <v>61</v>
      </c>
      <c r="B62">
        <v>2030</v>
      </c>
      <c r="C62" t="str">
        <v>Янв</v>
      </c>
      <c r="D62">
        <f>H61</f>
        <v>631836.6129991772</v>
      </c>
      <c r="E62">
        <v>6000</v>
      </c>
      <c r="F62">
        <v>0</v>
      </c>
      <c r="G62">
        <f>D62*0.00797414</f>
        <v>5038.353880178361</v>
      </c>
      <c r="H62">
        <f>SUM(D62:G62)</f>
        <v>642874.9668793556</v>
      </c>
    </row>
    <row r="63">
      <c r="A63">
        <v>62</v>
      </c>
      <c r="B63">
        <v>2030</v>
      </c>
      <c r="C63" t="str">
        <v>Фев</v>
      </c>
      <c r="D63">
        <f>H62</f>
        <v>642874.9668793556</v>
      </c>
      <c r="E63">
        <v>6000</v>
      </c>
      <c r="F63">
        <v>0</v>
      </c>
      <c r="G63">
        <f>D63*0.00797414</f>
        <v>5126.375264122838</v>
      </c>
      <c r="H63">
        <f>SUM(D63:G63)</f>
        <v>654001.3421434785</v>
      </c>
    </row>
    <row r="64">
      <c r="A64">
        <v>63</v>
      </c>
      <c r="B64">
        <v>2030</v>
      </c>
      <c r="C64" t="str">
        <v>Март</v>
      </c>
      <c r="D64">
        <f>H63</f>
        <v>654001.3421434785</v>
      </c>
      <c r="E64">
        <v>6000</v>
      </c>
      <c r="F64">
        <v>0</v>
      </c>
      <c r="G64">
        <f>D64*0.00797414</f>
        <v>5215.098542943635</v>
      </c>
      <c r="H64">
        <f>SUM(D64:G64)</f>
        <v>665216.440686422</v>
      </c>
    </row>
    <row r="65">
      <c r="A65">
        <v>64</v>
      </c>
      <c r="B65">
        <v>2030</v>
      </c>
      <c r="C65" t="str">
        <v>Апр</v>
      </c>
      <c r="D65">
        <f>H64</f>
        <v>665216.440686422</v>
      </c>
      <c r="E65">
        <v>6000</v>
      </c>
      <c r="F65">
        <v>0</v>
      </c>
      <c r="G65">
        <f>D65*0.00797414</f>
        <v>5304.529313649061</v>
      </c>
      <c r="H65">
        <f>SUM(D65:G65)</f>
        <v>676520.9700000711</v>
      </c>
    </row>
    <row r="66">
      <c r="A66">
        <v>65</v>
      </c>
      <c r="B66">
        <v>2030</v>
      </c>
      <c r="C66" t="str">
        <v>Май</v>
      </c>
      <c r="D66">
        <f>H65</f>
        <v>676520.9700000711</v>
      </c>
      <c r="E66">
        <v>6000</v>
      </c>
      <c r="F66">
        <v>0</v>
      </c>
      <c r="G66">
        <f>D66*0.00797414</f>
        <v>5394.673217878758</v>
      </c>
      <c r="H66">
        <f>SUM(D66:G66)</f>
        <v>687915.6432179499</v>
      </c>
    </row>
    <row r="67">
      <c r="A67">
        <v>66</v>
      </c>
      <c r="B67">
        <v>2030</v>
      </c>
      <c r="C67" t="str">
        <v>Июнь</v>
      </c>
      <c r="D67">
        <f>H66</f>
        <v>687915.6432179499</v>
      </c>
      <c r="E67">
        <v>6000</v>
      </c>
      <c r="F67">
        <v>0</v>
      </c>
      <c r="G67">
        <f>D67*0.00797414</f>
        <v>5485.535942259592</v>
      </c>
      <c r="H67">
        <f>SUM(D67:G67)</f>
        <v>699401.1791602095</v>
      </c>
    </row>
    <row r="68">
      <c r="A68">
        <v>67</v>
      </c>
      <c r="B68">
        <v>2030</v>
      </c>
      <c r="C68" t="str">
        <v>Июль</v>
      </c>
      <c r="D68">
        <f>H67</f>
        <v>699401.1791602095</v>
      </c>
      <c r="E68">
        <v>6000</v>
      </c>
      <c r="F68">
        <v>0</v>
      </c>
      <c r="G68">
        <f>D68*0.00797414</f>
        <v>5577.123218764392</v>
      </c>
      <c r="H68">
        <f>SUM(D68:G68)</f>
        <v>710978.3023789739</v>
      </c>
    </row>
    <row r="69">
      <c r="A69">
        <v>68</v>
      </c>
      <c r="B69">
        <v>2030</v>
      </c>
      <c r="C69" t="str">
        <v>Авг</v>
      </c>
      <c r="D69">
        <f>H68</f>
        <v>710978.3023789739</v>
      </c>
      <c r="E69">
        <v>6000</v>
      </c>
      <c r="F69">
        <v>36000</v>
      </c>
      <c r="G69">
        <f>D69*0.00797414</f>
        <v>5669.440825073541</v>
      </c>
      <c r="H69">
        <f>SUM(D69:G69)</f>
        <v>758647.7432040474</v>
      </c>
    </row>
    <row r="70">
      <c r="A70">
        <v>69</v>
      </c>
      <c r="B70">
        <v>2030</v>
      </c>
      <c r="C70" t="str">
        <v>Сен</v>
      </c>
      <c r="D70">
        <f>H69</f>
        <v>758647.7432040474</v>
      </c>
      <c r="E70">
        <v>6000</v>
      </c>
      <c r="F70">
        <v>0</v>
      </c>
      <c r="G70">
        <f>D70*0.00797414</f>
        <v>6049.563640379995</v>
      </c>
      <c r="H70">
        <f>SUM(D70:G70)</f>
        <v>770697.3068444275</v>
      </c>
    </row>
    <row r="71">
      <c r="A71">
        <v>70</v>
      </c>
      <c r="B71">
        <v>2030</v>
      </c>
      <c r="C71" t="str">
        <v>Окт</v>
      </c>
      <c r="D71">
        <f>H70</f>
        <v>770697.3068444275</v>
      </c>
      <c r="E71">
        <v>6000</v>
      </c>
      <c r="F71">
        <v>0</v>
      </c>
      <c r="G71">
        <f>D71*0.00797414</f>
        <v>6145.648552955399</v>
      </c>
      <c r="H71">
        <f>SUM(D71:G71)</f>
        <v>782842.9553973828</v>
      </c>
    </row>
    <row r="72">
      <c r="A72">
        <v>71</v>
      </c>
      <c r="B72">
        <v>2030</v>
      </c>
      <c r="C72" t="str">
        <v>Ноя</v>
      </c>
      <c r="D72">
        <f>H71</f>
        <v>782842.9553973828</v>
      </c>
      <c r="E72">
        <v>6000</v>
      </c>
      <c r="F72">
        <v>0</v>
      </c>
      <c r="G72">
        <f>D72*0.00797414</f>
        <v>6242.499660116777</v>
      </c>
      <c r="H72">
        <f>SUM(D72:G72)</f>
        <v>795085.4550574996</v>
      </c>
    </row>
    <row r="73">
      <c r="A73">
        <v>72</v>
      </c>
      <c r="B73">
        <v>2030</v>
      </c>
      <c r="C73" t="str">
        <v>Дек</v>
      </c>
      <c r="D73">
        <f>H72</f>
        <v>795085.4550574996</v>
      </c>
      <c r="E73">
        <v>6000</v>
      </c>
      <c r="F73">
        <v>0</v>
      </c>
      <c r="G73">
        <f>D73*0.00797414</f>
        <v>6340.123071607354</v>
      </c>
      <c r="H73">
        <f>SUM(D73:G73)</f>
        <v>807425.5781291069</v>
      </c>
    </row>
    <row r="74">
      <c r="A74">
        <v>73</v>
      </c>
      <c r="B74">
        <v>2031</v>
      </c>
      <c r="C74" t="str">
        <v>Янв</v>
      </c>
      <c r="D74">
        <f>H73</f>
        <v>807425.5781291069</v>
      </c>
      <c r="E74">
        <v>6000</v>
      </c>
      <c r="F74">
        <v>0</v>
      </c>
      <c r="G74">
        <f>D74*0.00797414</f>
        <v>6438.524945890306</v>
      </c>
      <c r="H74">
        <f>SUM(D74:G74)</f>
        <v>819864.1030749972</v>
      </c>
    </row>
    <row r="75">
      <c r="A75">
        <v>74</v>
      </c>
      <c r="B75">
        <v>2031</v>
      </c>
      <c r="C75" t="str">
        <v>Фев</v>
      </c>
      <c r="D75">
        <f>H74</f>
        <v>819864.1030749972</v>
      </c>
      <c r="E75">
        <v>6000</v>
      </c>
      <c r="F75">
        <v>0</v>
      </c>
      <c r="G75">
        <f>D75*0.00797414</f>
        <v>6537.711490537258</v>
      </c>
      <c r="H75">
        <f>SUM(D75:G75)</f>
        <v>832401.8145655345</v>
      </c>
    </row>
    <row r="76">
      <c r="A76">
        <v>75</v>
      </c>
      <c r="B76">
        <v>2031</v>
      </c>
      <c r="C76" t="str">
        <v>Март</v>
      </c>
      <c r="D76">
        <f>H75</f>
        <v>832401.8145655345</v>
      </c>
      <c r="E76">
        <v>6000</v>
      </c>
      <c r="F76">
        <v>0</v>
      </c>
      <c r="G76">
        <f>D76*0.00797414</f>
        <v>6637.688962619883</v>
      </c>
      <c r="H76">
        <f>SUM(D76:G76)</f>
        <v>845039.5035281543</v>
      </c>
    </row>
    <row r="77">
      <c r="A77">
        <v>76</v>
      </c>
      <c r="B77">
        <v>2031</v>
      </c>
      <c r="C77" t="str">
        <v>Апр</v>
      </c>
      <c r="D77">
        <f>H76</f>
        <v>845039.5035281543</v>
      </c>
      <c r="E77">
        <v>6000</v>
      </c>
      <c r="F77">
        <v>0</v>
      </c>
      <c r="G77">
        <f>D77*0.00797414</f>
        <v>6738.463669104621</v>
      </c>
      <c r="H77">
        <f>SUM(D77:G77)</f>
        <v>857777.967197259</v>
      </c>
    </row>
    <row r="78">
      <c r="A78">
        <v>77</v>
      </c>
      <c r="B78">
        <v>2031</v>
      </c>
      <c r="C78" t="str">
        <v>Май</v>
      </c>
      <c r="D78">
        <f>H77</f>
        <v>857777.967197259</v>
      </c>
      <c r="E78">
        <v>6000</v>
      </c>
      <c r="F78">
        <v>0</v>
      </c>
      <c r="G78">
        <f>D78*0.00797414</f>
        <v>6840.0419672505495</v>
      </c>
      <c r="H78">
        <f>SUM(D78:G78)</f>
        <v>870618.0091645095</v>
      </c>
    </row>
    <row r="79">
      <c r="A79">
        <v>78</v>
      </c>
      <c r="B79">
        <v>2031</v>
      </c>
      <c r="C79" t="str">
        <v>Июнь</v>
      </c>
      <c r="D79">
        <f>H78</f>
        <v>870618.0091645095</v>
      </c>
      <c r="E79">
        <v>6000</v>
      </c>
      <c r="F79">
        <v>0</v>
      </c>
      <c r="G79">
        <f>D79*0.00797414</f>
        <v>6942.430265010423</v>
      </c>
      <c r="H79">
        <f>SUM(D79:G79)</f>
        <v>883560.4394295199</v>
      </c>
    </row>
    <row r="80">
      <c r="A80">
        <v>79</v>
      </c>
      <c r="B80">
        <v>2031</v>
      </c>
      <c r="C80" t="str">
        <v>Июль</v>
      </c>
      <c r="D80">
        <f>H79</f>
        <v>883560.4394295199</v>
      </c>
      <c r="E80">
        <v>6000</v>
      </c>
      <c r="F80">
        <v>0</v>
      </c>
      <c r="G80">
        <f>D80*0.00797414</f>
        <v>7045.63502143491</v>
      </c>
      <c r="H80">
        <f>SUM(D80:G80)</f>
        <v>896606.0744509548</v>
      </c>
    </row>
    <row r="81">
      <c r="A81">
        <v>80</v>
      </c>
      <c r="B81">
        <v>2031</v>
      </c>
      <c r="C81" t="str">
        <v>Авг</v>
      </c>
      <c r="D81">
        <f>H80</f>
        <v>896606.0744509548</v>
      </c>
      <c r="E81">
        <v>6000</v>
      </c>
      <c r="F81">
        <v>36000</v>
      </c>
      <c r="G81">
        <f>D81*0.00797414</f>
        <v>7149.662747080057</v>
      </c>
      <c r="H81">
        <f>SUM(D81:G81)</f>
        <v>945755.7371980349</v>
      </c>
    </row>
    <row r="82">
      <c r="A82">
        <v>81</v>
      </c>
      <c r="B82">
        <v>2031</v>
      </c>
      <c r="C82" t="str">
        <v>Сен</v>
      </c>
      <c r="D82">
        <f>H81</f>
        <v>945755.7371980349</v>
      </c>
      <c r="E82">
        <v>6000</v>
      </c>
      <c r="F82">
        <v>0</v>
      </c>
      <c r="G82">
        <f>D82*0.00797414</f>
        <v>7541.589059858534</v>
      </c>
      <c r="H82">
        <f>SUM(D82:G82)</f>
        <v>959297.3262578935</v>
      </c>
    </row>
    <row r="83">
      <c r="A83">
        <v>82</v>
      </c>
      <c r="B83">
        <v>2031</v>
      </c>
      <c r="C83" t="str">
        <v>Окт</v>
      </c>
      <c r="D83">
        <f>H82</f>
        <v>959297.3262578935</v>
      </c>
      <c r="E83">
        <v>6000</v>
      </c>
      <c r="F83">
        <v>0</v>
      </c>
      <c r="G83">
        <f>D83*0.00797414</f>
        <v>7649.571592652353</v>
      </c>
      <c r="H83">
        <f>SUM(D83:G83)</f>
        <v>972946.8978505458</v>
      </c>
    </row>
    <row r="84">
      <c r="A84">
        <v>83</v>
      </c>
      <c r="B84">
        <v>2031</v>
      </c>
      <c r="C84" t="str">
        <v>Ноя</v>
      </c>
      <c r="D84">
        <f>H83</f>
        <v>972946.8978505458</v>
      </c>
      <c r="E84">
        <v>6000</v>
      </c>
      <c r="F84">
        <v>0</v>
      </c>
      <c r="G84">
        <f>D84*0.00797414</f>
        <v>7758.415193326538</v>
      </c>
      <c r="H84">
        <f>SUM(D84:G84)</f>
        <v>986705.3130438724</v>
      </c>
    </row>
    <row r="85">
      <c r="A85">
        <v>84</v>
      </c>
      <c r="B85">
        <v>2031</v>
      </c>
      <c r="C85" t="str">
        <v>Дек</v>
      </c>
      <c r="D85">
        <f>H84</f>
        <v>986705.3130438724</v>
      </c>
      <c r="E85">
        <v>6000</v>
      </c>
      <c r="F85">
        <v>0</v>
      </c>
      <c r="G85">
        <f>D85*0.00797414</f>
        <v>7868.126728157287</v>
      </c>
      <c r="H85">
        <f>SUM(D85:G85)</f>
        <v>1000573.4397720296</v>
      </c>
    </row>
    <row r="86">
      <c r="A86">
        <v>85</v>
      </c>
      <c r="B86">
        <v>2032</v>
      </c>
      <c r="C86" t="str">
        <v>Янв</v>
      </c>
      <c r="D86">
        <f>H85</f>
        <v>1000573.4397720296</v>
      </c>
      <c r="E86">
        <v>6000</v>
      </c>
      <c r="F86">
        <v>0</v>
      </c>
      <c r="G86">
        <f>D86*0.00797414</f>
        <v>7978.713118173448</v>
      </c>
      <c r="H86">
        <f>SUM(D86:G86)</f>
        <v>1014552.152890203</v>
      </c>
    </row>
    <row r="87">
      <c r="A87">
        <v>86</v>
      </c>
      <c r="B87">
        <v>2032</v>
      </c>
      <c r="C87" t="str">
        <v>Фев</v>
      </c>
      <c r="D87">
        <f>H86</f>
        <v>1014552.152890203</v>
      </c>
      <c r="E87">
        <v>6000</v>
      </c>
      <c r="F87">
        <v>0</v>
      </c>
      <c r="G87">
        <f>D87*0.00797414</f>
        <v>8090.181339593121</v>
      </c>
      <c r="H87">
        <f>SUM(D87:G87)</f>
        <v>1028642.3342297962</v>
      </c>
    </row>
    <row r="88">
      <c r="A88">
        <v>87</v>
      </c>
      <c r="B88">
        <v>2032</v>
      </c>
      <c r="C88" t="str">
        <v>Март</v>
      </c>
      <c r="D88">
        <f>H87</f>
        <v>1028642.3342297962</v>
      </c>
      <c r="E88">
        <v>6000</v>
      </c>
      <c r="F88">
        <v>0</v>
      </c>
      <c r="G88">
        <f>D88*0.00797414</f>
        <v>8202.538424263756</v>
      </c>
      <c r="H88">
        <f>SUM(D88:G88)</f>
        <v>1042844.8726540599</v>
      </c>
    </row>
    <row r="89">
      <c r="A89">
        <v>88</v>
      </c>
      <c r="B89">
        <v>2032</v>
      </c>
      <c r="C89" t="str">
        <v>Апр</v>
      </c>
      <c r="D89">
        <f>H88</f>
        <v>1042844.8726540599</v>
      </c>
      <c r="E89">
        <v>6000</v>
      </c>
      <c r="F89">
        <v>0</v>
      </c>
      <c r="G89">
        <f>D89*0.00797414</f>
        <v>8315.791460105736</v>
      </c>
      <c r="H89">
        <f>SUM(D89:G89)</f>
        <v>1057160.6641141656</v>
      </c>
    </row>
    <row r="90">
      <c r="A90">
        <v>89</v>
      </c>
      <c r="B90">
        <v>2032</v>
      </c>
      <c r="C90" t="str">
        <v>Май</v>
      </c>
      <c r="D90">
        <f>H89</f>
        <v>1057160.6641141656</v>
      </c>
      <c r="E90">
        <v>6000</v>
      </c>
      <c r="F90">
        <v>0</v>
      </c>
      <c r="G90">
        <f>D90*0.00797414</f>
        <v>8429.947591559521</v>
      </c>
      <c r="H90">
        <f>SUM(D90:G90)</f>
        <v>1071590.611705725</v>
      </c>
    </row>
    <row r="91">
      <c r="A91">
        <v>90</v>
      </c>
      <c r="B91">
        <v>2032</v>
      </c>
      <c r="C91" t="str">
        <v>Июнь</v>
      </c>
      <c r="D91">
        <f>H90</f>
        <v>1071590.611705725</v>
      </c>
      <c r="E91">
        <v>6000</v>
      </c>
      <c r="F91">
        <v>0</v>
      </c>
      <c r="G91">
        <f>D91*0.00797414</f>
        <v>8545.014020036338</v>
      </c>
      <c r="H91">
        <f>SUM(D91:G91)</f>
        <v>1086135.6257257615</v>
      </c>
    </row>
    <row r="92">
      <c r="A92">
        <v>91</v>
      </c>
      <c r="B92">
        <v>2032</v>
      </c>
      <c r="C92" t="str">
        <v>Июль</v>
      </c>
      <c r="D92">
        <f>H91</f>
        <v>1086135.6257257615</v>
      </c>
      <c r="E92">
        <v>6000</v>
      </c>
      <c r="F92">
        <v>0</v>
      </c>
      <c r="G92">
        <f>D92*0.00797414</f>
        <v>8660.998004372483</v>
      </c>
      <c r="H92">
        <f>SUM(D92:G92)</f>
        <v>1100796.623730134</v>
      </c>
    </row>
    <row r="93">
      <c r="A93">
        <v>92</v>
      </c>
      <c r="B93">
        <v>2032</v>
      </c>
      <c r="C93" t="str">
        <v>Авг</v>
      </c>
      <c r="D93">
        <f>H92</f>
        <v>1100796.623730134</v>
      </c>
      <c r="E93">
        <v>6000</v>
      </c>
      <c r="F93">
        <v>36000</v>
      </c>
      <c r="G93">
        <f>D93*0.00797414</f>
        <v>8777.906861287227</v>
      </c>
      <c r="H93">
        <f>SUM(D93:G93)</f>
        <v>1151574.5305914213</v>
      </c>
    </row>
    <row r="94">
      <c r="A94">
        <v>93</v>
      </c>
      <c r="B94">
        <v>2032</v>
      </c>
      <c r="C94" t="str">
        <v>Сен</v>
      </c>
      <c r="D94">
        <f>H93</f>
        <v>1151574.5305914213</v>
      </c>
      <c r="E94">
        <v>6000</v>
      </c>
      <c r="F94">
        <v>0</v>
      </c>
      <c r="G94">
        <f>D94*0.00797414</f>
        <v>9182.817021284927</v>
      </c>
      <c r="H94">
        <f>SUM(D94:G94)</f>
        <v>1166757.3476127062</v>
      </c>
    </row>
    <row r="95">
      <c r="A95">
        <v>94</v>
      </c>
      <c r="B95">
        <v>2032</v>
      </c>
      <c r="C95" t="str">
        <v>Окт</v>
      </c>
      <c r="D95">
        <f>H94</f>
        <v>1166757.3476127062</v>
      </c>
      <c r="E95">
        <v>6000</v>
      </c>
      <c r="F95">
        <v>0</v>
      </c>
      <c r="G95">
        <f>D95*0.00797414</f>
        <v>9303.886936319004</v>
      </c>
      <c r="H95">
        <f>SUM(D95:G95)</f>
        <v>1182061.2345490253</v>
      </c>
    </row>
    <row r="96">
      <c r="A96">
        <v>95</v>
      </c>
      <c r="B96">
        <v>2032</v>
      </c>
      <c r="C96" t="str">
        <v>Ноя</v>
      </c>
      <c r="D96">
        <f>H95</f>
        <v>1182061.2345490253</v>
      </c>
      <c r="E96">
        <v>6000</v>
      </c>
      <c r="F96">
        <v>0</v>
      </c>
      <c r="G96">
        <f>D96*0.00797414</f>
        <v>9425.922279857277</v>
      </c>
      <c r="H96">
        <f>SUM(D96:G96)</f>
        <v>1197487.1568288826</v>
      </c>
    </row>
    <row r="97">
      <c r="A97">
        <v>96</v>
      </c>
      <c r="B97">
        <v>2032</v>
      </c>
      <c r="C97" t="str">
        <v>Дек</v>
      </c>
      <c r="D97">
        <f>H96</f>
        <v>1197487.1568288826</v>
      </c>
      <c r="E97">
        <v>6000</v>
      </c>
      <c r="F97">
        <v>0</v>
      </c>
      <c r="G97">
        <f>D97*0.00797414</f>
        <v>9548.930750362215</v>
      </c>
      <c r="H97">
        <f>SUM(D97:G97)</f>
        <v>1213036.0875792447</v>
      </c>
    </row>
    <row r="98">
      <c r="A98">
        <v>97</v>
      </c>
      <c r="B98">
        <v>2033</v>
      </c>
      <c r="C98" t="str">
        <v>Янв</v>
      </c>
      <c r="D98">
        <f>H97</f>
        <v>1213036.0875792447</v>
      </c>
      <c r="E98">
        <v>6000</v>
      </c>
      <c r="F98">
        <v>0</v>
      </c>
      <c r="G98">
        <f>D98*0.00797414</f>
        <v>9672.920107684902</v>
      </c>
      <c r="H98">
        <f>SUM(D98:G98)</f>
        <v>1228709.0076869295</v>
      </c>
    </row>
    <row r="99">
      <c r="A99">
        <v>98</v>
      </c>
      <c r="B99">
        <v>2033</v>
      </c>
      <c r="C99" t="str">
        <v>Фев</v>
      </c>
      <c r="D99">
        <f>H98</f>
        <v>1228709.0076869295</v>
      </c>
      <c r="E99">
        <v>6000</v>
      </c>
      <c r="F99">
        <v>0</v>
      </c>
      <c r="G99">
        <f>D99*0.00797414</f>
        <v>9797.898173554571</v>
      </c>
      <c r="H99">
        <f>SUM(D99:G99)</f>
        <v>1244506.905860484</v>
      </c>
    </row>
    <row r="100">
      <c r="A100">
        <v>99</v>
      </c>
      <c r="B100">
        <v>2033</v>
      </c>
      <c r="C100" t="str">
        <v>Март</v>
      </c>
      <c r="D100">
        <f>H99</f>
        <v>1244506.905860484</v>
      </c>
      <c r="E100">
        <v>6000</v>
      </c>
      <c r="F100">
        <v>0</v>
      </c>
      <c r="G100">
        <f>D100*0.00797414</f>
        <v>9923.872832072017</v>
      </c>
      <c r="H100">
        <f>SUM(D100:G100)</f>
        <v>1260430.778692556</v>
      </c>
    </row>
    <row r="101">
      <c r="A101">
        <v>100</v>
      </c>
      <c r="B101">
        <v>2033</v>
      </c>
      <c r="C101" t="str">
        <v>Апр</v>
      </c>
      <c r="D101">
        <f>H100</f>
        <v>1260430.778692556</v>
      </c>
      <c r="E101">
        <v>6000</v>
      </c>
      <c r="F101">
        <v>0</v>
      </c>
      <c r="G101">
        <f>D101*0.00797414</f>
        <v>10050.852030206965</v>
      </c>
      <c r="H101">
        <f>SUM(D101:G101)</f>
        <v>1276481.630722763</v>
      </c>
    </row>
    <row r="102">
      <c r="A102">
        <v>101</v>
      </c>
      <c r="B102">
        <v>2033</v>
      </c>
      <c r="C102" t="str">
        <v>Май</v>
      </c>
      <c r="D102">
        <f>H101</f>
        <v>1276481.630722763</v>
      </c>
      <c r="E102">
        <v>6000</v>
      </c>
      <c r="F102">
        <v>0</v>
      </c>
      <c r="G102">
        <f>D102*0.00797414</f>
        <v>10178.84377829939</v>
      </c>
      <c r="H102">
        <f>SUM(D102:G102)</f>
        <v>1292660.4745010624</v>
      </c>
    </row>
    <row r="103">
      <c r="A103">
        <v>102</v>
      </c>
      <c r="B103">
        <v>2033</v>
      </c>
      <c r="C103" t="str">
        <v>Июнь</v>
      </c>
      <c r="D103">
        <f>H102</f>
        <v>1292660.4745010624</v>
      </c>
      <c r="E103">
        <v>6000</v>
      </c>
      <c r="F103">
        <v>0</v>
      </c>
      <c r="G103">
        <f>D103*0.00797414</f>
        <v>10307.856150564845</v>
      </c>
      <c r="H103">
        <f>SUM(D103:G103)</f>
        <v>1308968.3306516272</v>
      </c>
    </row>
    <row r="104">
      <c r="A104">
        <v>103</v>
      </c>
      <c r="B104">
        <v>2033</v>
      </c>
      <c r="C104" t="str">
        <v>Июль</v>
      </c>
      <c r="D104">
        <f>H103</f>
        <v>1308968.3306516272</v>
      </c>
      <c r="E104">
        <v>6000</v>
      </c>
      <c r="F104">
        <v>0</v>
      </c>
      <c r="G104">
        <f>D104*0.00797414</f>
        <v>10437.89728560381</v>
      </c>
      <c r="H104">
        <f>SUM(D104:G104)</f>
        <v>1325406.227937231</v>
      </c>
    </row>
    <row r="105">
      <c r="A105">
        <v>104</v>
      </c>
      <c r="B105">
        <v>2033</v>
      </c>
      <c r="C105" t="str">
        <v>Авг</v>
      </c>
      <c r="D105">
        <f>H104</f>
        <v>1325406.227937231</v>
      </c>
      <c r="E105">
        <v>6000</v>
      </c>
      <c r="F105">
        <v>36000</v>
      </c>
      <c r="G105">
        <f>D105*0.00797414</f>
        <v>10568.975386915112</v>
      </c>
      <c r="H105">
        <f>SUM(D105:G105)</f>
        <v>1377975.203324146</v>
      </c>
    </row>
    <row r="106">
      <c r="A106">
        <v>105</v>
      </c>
      <c r="B106">
        <v>2033</v>
      </c>
      <c r="C106" t="str">
        <v>Сен</v>
      </c>
      <c r="D106">
        <f>H105</f>
        <v>1377975.203324146</v>
      </c>
      <c r="E106">
        <v>6000</v>
      </c>
      <c r="F106">
        <v>0</v>
      </c>
      <c r="G106">
        <f>D106*0.00797414</f>
        <v>10988.167778853958</v>
      </c>
      <c r="H106">
        <f>SUM(D106:G106)</f>
        <v>1394963.3711030001</v>
      </c>
    </row>
    <row r="107">
      <c r="A107">
        <v>106</v>
      </c>
      <c r="B107">
        <v>2033</v>
      </c>
      <c r="C107" t="str">
        <v>Окт</v>
      </c>
      <c r="D107">
        <f>H106</f>
        <v>1394963.3711030001</v>
      </c>
      <c r="E107">
        <v>6000</v>
      </c>
      <c r="F107">
        <v>0</v>
      </c>
      <c r="G107">
        <f>D107*0.00797414</f>
        <v>11123.633814352319</v>
      </c>
      <c r="H107">
        <f>SUM(D107:G107)</f>
        <v>1412087.0049173525</v>
      </c>
    </row>
    <row r="108">
      <c r="A108">
        <v>107</v>
      </c>
      <c r="B108">
        <v>2033</v>
      </c>
      <c r="C108" t="str">
        <v>Ноя</v>
      </c>
      <c r="D108">
        <f>H107</f>
        <v>1412087.0049173525</v>
      </c>
      <c r="E108">
        <v>6000</v>
      </c>
      <c r="F108">
        <v>0</v>
      </c>
      <c r="G108">
        <f>D108*0.00797414</f>
        <v>11260.18007504109</v>
      </c>
      <c r="H108">
        <f>SUM(D108:G108)</f>
        <v>1429347.1849923935</v>
      </c>
    </row>
    <row r="109">
      <c r="A109">
        <v>108</v>
      </c>
      <c r="B109">
        <v>2033</v>
      </c>
      <c r="C109" t="str">
        <v>Дек</v>
      </c>
      <c r="D109">
        <f>H108</f>
        <v>1429347.1849923935</v>
      </c>
      <c r="E109">
        <v>6000</v>
      </c>
      <c r="F109">
        <v>0</v>
      </c>
      <c r="G109">
        <f>D109*0.00797414</f>
        <v>11397.815174787633</v>
      </c>
      <c r="H109">
        <f>SUM(D109:G109)</f>
        <v>1446745.000167181</v>
      </c>
    </row>
    <row r="110">
      <c r="A110">
        <v>109</v>
      </c>
      <c r="B110">
        <v>2034</v>
      </c>
      <c r="C110" t="str">
        <v>Янв</v>
      </c>
      <c r="D110">
        <f>H109</f>
        <v>1446745.000167181</v>
      </c>
      <c r="E110">
        <v>6000</v>
      </c>
      <c r="F110">
        <v>0</v>
      </c>
      <c r="G110">
        <f>D110*0.00797414</f>
        <v>11536.5477961475</v>
      </c>
      <c r="H110">
        <f>SUM(D110:G110)</f>
        <v>1464281.5479633284</v>
      </c>
    </row>
    <row r="111">
      <c r="A111">
        <v>110</v>
      </c>
      <c r="B111">
        <v>2034</v>
      </c>
      <c r="C111" t="str">
        <v>Фев</v>
      </c>
      <c r="D111">
        <f>H110</f>
        <v>1464281.5479633284</v>
      </c>
      <c r="E111">
        <v>6000</v>
      </c>
      <c r="F111">
        <v>0</v>
      </c>
      <c r="G111">
        <f>D111*0.00797414</f>
        <v>11676.386690912164</v>
      </c>
      <c r="H111">
        <f>SUM(D111:G111)</f>
        <v>1481957.9346542405</v>
      </c>
    </row>
    <row r="112">
      <c r="A112">
        <v>111</v>
      </c>
      <c r="B112">
        <v>2034</v>
      </c>
      <c r="C112" t="str">
        <v>Март</v>
      </c>
      <c r="D112">
        <f>H111</f>
        <v>1481957.9346542405</v>
      </c>
      <c r="E112">
        <v>6000</v>
      </c>
      <c r="F112">
        <v>0</v>
      </c>
      <c r="G112">
        <f>D112*0.00797414</f>
        <v>11817.340680661102</v>
      </c>
      <c r="H112">
        <f>SUM(D112:G112)</f>
        <v>1499775.2753349016</v>
      </c>
    </row>
    <row r="113">
      <c r="A113">
        <v>112</v>
      </c>
      <c r="B113">
        <v>2034</v>
      </c>
      <c r="C113" t="str">
        <v>Апр</v>
      </c>
      <c r="D113">
        <f>H112</f>
        <v>1499775.2753349016</v>
      </c>
      <c r="E113">
        <v>6000</v>
      </c>
      <c r="F113">
        <v>0</v>
      </c>
      <c r="G113">
        <f>D113*0.00797414</f>
        <v>11959.418657318314</v>
      </c>
      <c r="H113">
        <f>SUM(D113:G113)</f>
        <v>1517734.6939922199</v>
      </c>
    </row>
    <row r="114">
      <c r="A114">
        <v>113</v>
      </c>
      <c r="B114">
        <v>2034</v>
      </c>
      <c r="C114" t="str">
        <v>Май</v>
      </c>
      <c r="D114">
        <f>H113</f>
        <v>1517734.6939922199</v>
      </c>
      <c r="E114">
        <v>6000</v>
      </c>
      <c r="F114">
        <v>0</v>
      </c>
      <c r="G114">
        <f>D114*0.00797414</f>
        <v>12102.629583713244</v>
      </c>
      <c r="H114">
        <f>SUM(D114:G114)</f>
        <v>1535837.323575933</v>
      </c>
    </row>
    <row r="115">
      <c r="A115">
        <v>114</v>
      </c>
      <c r="B115">
        <v>2034</v>
      </c>
      <c r="C115" t="str">
        <v>Июнь</v>
      </c>
      <c r="D115">
        <f>H114</f>
        <v>1535837.323575933</v>
      </c>
      <c r="E115">
        <v>6000</v>
      </c>
      <c r="F115">
        <v>0</v>
      </c>
      <c r="G115">
        <f>D115*0.00797414</f>
        <v>12246.9824941462</v>
      </c>
      <c r="H115">
        <f>SUM(D115:G115)</f>
        <v>1554084.306070079</v>
      </c>
    </row>
    <row r="116">
      <c r="A116">
        <v>115</v>
      </c>
      <c r="B116">
        <v>2034</v>
      </c>
      <c r="C116" t="str">
        <v>Июль</v>
      </c>
      <c r="D116">
        <f>H115</f>
        <v>1554084.306070079</v>
      </c>
      <c r="E116">
        <v>6000</v>
      </c>
      <c r="F116">
        <v>0</v>
      </c>
      <c r="G116">
        <f>D116*0.00797414</f>
        <v>12392.48649495827</v>
      </c>
      <c r="H116">
        <f>SUM(D116:G116)</f>
        <v>1572476.7925650373</v>
      </c>
    </row>
    <row r="117">
      <c r="A117">
        <v>116</v>
      </c>
      <c r="B117">
        <v>2034</v>
      </c>
      <c r="C117" t="str">
        <v>Авг</v>
      </c>
      <c r="D117">
        <f>H116</f>
        <v>1572476.7925650373</v>
      </c>
      <c r="E117">
        <v>6000</v>
      </c>
      <c r="F117">
        <v>36000</v>
      </c>
      <c r="G117">
        <f>D117*0.00797414</f>
        <v>12539.150765105782</v>
      </c>
      <c r="H117">
        <f>SUM(D117:G117)</f>
        <v>1627015.943330143</v>
      </c>
    </row>
    <row r="118">
      <c r="A118">
        <v>117</v>
      </c>
      <c r="B118">
        <v>2034</v>
      </c>
      <c r="C118" t="str">
        <v>Сен</v>
      </c>
      <c r="D118">
        <f>H117</f>
        <v>1627015.943330143</v>
      </c>
      <c r="E118">
        <v>6000</v>
      </c>
      <c r="F118">
        <v>0</v>
      </c>
      <c r="G118">
        <f>D118*0.00797414</f>
        <v>12974.05361217989</v>
      </c>
      <c r="H118">
        <f>SUM(D118:G118)</f>
        <v>1645989.996942323</v>
      </c>
    </row>
    <row r="119">
      <c r="A119">
        <v>118</v>
      </c>
      <c r="B119">
        <v>2034</v>
      </c>
      <c r="C119" t="str">
        <v>Окт</v>
      </c>
      <c r="D119">
        <f>H118</f>
        <v>1645989.996942323</v>
      </c>
      <c r="E119">
        <v>6000</v>
      </c>
      <c r="F119">
        <v>0</v>
      </c>
      <c r="G119">
        <f>D119*0.00797414</f>
        <v>13125.355380188961</v>
      </c>
      <c r="H119">
        <f>SUM(D119:G119)</f>
        <v>1665115.3523225118</v>
      </c>
    </row>
    <row r="120">
      <c r="A120">
        <v>119</v>
      </c>
      <c r="B120">
        <v>2034</v>
      </c>
      <c r="C120" t="str">
        <v>Ноя</v>
      </c>
      <c r="D120">
        <f>H119</f>
        <v>1665115.3523225118</v>
      </c>
      <c r="E120">
        <v>6000</v>
      </c>
      <c r="F120">
        <v>0</v>
      </c>
      <c r="G120">
        <f>D120*0.00797414</f>
        <v>13277.863649743276</v>
      </c>
      <c r="H120">
        <f>SUM(D120:G120)</f>
        <v>1684393.2159722552</v>
      </c>
    </row>
    <row r="121">
      <c r="A121">
        <v>120</v>
      </c>
      <c r="B121">
        <v>2034</v>
      </c>
      <c r="C121" t="str">
        <v>Дек</v>
      </c>
      <c r="D121">
        <f>H120</f>
        <v>1684393.2159722552</v>
      </c>
      <c r="E121">
        <v>6000</v>
      </c>
      <c r="F121">
        <v>0</v>
      </c>
      <c r="G121">
        <f>D121*0.00797414</f>
        <v>13431.58804165559</v>
      </c>
      <c r="H121">
        <f>SUM(D121:G121)</f>
        <v>1703824.8040139107</v>
      </c>
    </row>
    <row r="122">
      <c r="A122">
        <v>121</v>
      </c>
      <c r="B122">
        <v>2035</v>
      </c>
      <c r="C122" t="str">
        <v>Янв</v>
      </c>
      <c r="D122">
        <f>H121</f>
        <v>1703824.8040139107</v>
      </c>
      <c r="E122">
        <v>6000</v>
      </c>
      <c r="F122">
        <v>0</v>
      </c>
      <c r="G122">
        <f>D122*0.00797414</f>
        <v>13586.538253456358</v>
      </c>
      <c r="H122">
        <f>SUM(D122:G122)</f>
        <v>1723411.342267367</v>
      </c>
    </row>
    <row r="123">
      <c r="A123">
        <v>122</v>
      </c>
      <c r="B123">
        <v>2035</v>
      </c>
      <c r="C123" t="str">
        <v>Фев</v>
      </c>
      <c r="D123">
        <f>H122</f>
        <v>1723411.342267367</v>
      </c>
      <c r="E123">
        <v>6000</v>
      </c>
      <c r="F123">
        <v>0</v>
      </c>
      <c r="G123">
        <f>D123*0.00797414</f>
        <v>13742.724060005514</v>
      </c>
      <c r="H123">
        <f>SUM(D123:G123)</f>
        <v>1743154.0663273726</v>
      </c>
    </row>
    <row r="124">
      <c r="A124">
        <v>123</v>
      </c>
      <c r="B124">
        <v>2035</v>
      </c>
      <c r="C124" t="str">
        <v>Март</v>
      </c>
      <c r="D124">
        <f>H123</f>
        <v>1743154.0663273726</v>
      </c>
      <c r="E124">
        <v>6000</v>
      </c>
      <c r="F124">
        <v>0</v>
      </c>
      <c r="G124">
        <f>D124*0.00797414</f>
        <v>13900.155314109095</v>
      </c>
      <c r="H124">
        <f>SUM(D124:G124)</f>
        <v>1763054.2216414816</v>
      </c>
    </row>
    <row r="125">
      <c r="A125">
        <v>124</v>
      </c>
      <c r="B125">
        <v>2035</v>
      </c>
      <c r="C125" t="str">
        <v>Апр</v>
      </c>
      <c r="D125">
        <f>H124</f>
        <v>1763054.2216414816</v>
      </c>
      <c r="E125">
        <v>6000</v>
      </c>
      <c r="F125">
        <v>0</v>
      </c>
      <c r="G125">
        <f>D125*0.00797414</f>
        <v>14058.841947140796</v>
      </c>
      <c r="H125">
        <f>SUM(D125:G125)</f>
        <v>1783113.0635886225</v>
      </c>
    </row>
    <row r="126">
      <c r="A126">
        <v>125</v>
      </c>
      <c r="B126">
        <v>2035</v>
      </c>
      <c r="C126" t="str">
        <v>Май</v>
      </c>
      <c r="D126">
        <f>H125</f>
        <v>1783113.0635886225</v>
      </c>
      <c r="E126">
        <v>6000</v>
      </c>
      <c r="F126">
        <v>0</v>
      </c>
      <c r="G126">
        <f>D126*0.00797414</f>
        <v>14218.793969668483</v>
      </c>
      <c r="H126">
        <f>SUM(D126:G126)</f>
        <v>1803331.857558291</v>
      </c>
    </row>
    <row r="127">
      <c r="A127">
        <v>126</v>
      </c>
      <c r="B127">
        <v>2035</v>
      </c>
      <c r="C127" t="str">
        <v>Июнь</v>
      </c>
      <c r="D127">
        <f>H126</f>
        <v>1803331.857558291</v>
      </c>
      <c r="E127">
        <v>6000</v>
      </c>
      <c r="F127">
        <v>0</v>
      </c>
      <c r="G127">
        <f>D127*0.00797414</f>
        <v>14380.021472085693</v>
      </c>
      <c r="H127">
        <f>SUM(D127:G127)</f>
        <v>1823711.8790303767</v>
      </c>
    </row>
    <row r="128">
      <c r="A128">
        <v>127</v>
      </c>
      <c r="B128">
        <v>2035</v>
      </c>
      <c r="C128" t="str">
        <v>Июль</v>
      </c>
      <c r="D128">
        <f>H127</f>
        <v>1823711.8790303767</v>
      </c>
      <c r="E128">
        <v>6000</v>
      </c>
      <c r="F128">
        <v>0</v>
      </c>
      <c r="G128">
        <f>D128*0.00797414</f>
        <v>14542.534625248178</v>
      </c>
      <c r="H128">
        <f>SUM(D128:G128)</f>
        <v>1844254.413655625</v>
      </c>
    </row>
    <row r="129">
      <c r="A129">
        <v>128</v>
      </c>
      <c r="B129">
        <v>2035</v>
      </c>
      <c r="C129" t="str">
        <v>Авг</v>
      </c>
      <c r="D129">
        <f>H128</f>
        <v>1844254.413655625</v>
      </c>
      <c r="E129">
        <v>6000</v>
      </c>
      <c r="F129">
        <v>36000</v>
      </c>
      <c r="G129">
        <f>D129*0.00797414</f>
        <v>14706.343681115526</v>
      </c>
      <c r="H129">
        <f>SUM(D129:G129)</f>
        <v>1900960.7573367404</v>
      </c>
    </row>
    <row r="130">
      <c r="A130">
        <v>129</v>
      </c>
      <c r="B130">
        <v>2035</v>
      </c>
      <c r="C130" t="str">
        <v>Сен</v>
      </c>
      <c r="D130">
        <f>H129</f>
        <v>1900960.7573367404</v>
      </c>
      <c r="E130">
        <v>6000</v>
      </c>
      <c r="F130">
        <v>0</v>
      </c>
      <c r="G130">
        <f>D130*0.00797414</f>
        <v>15158.52802883842</v>
      </c>
      <c r="H130">
        <f>SUM(D130:G130)</f>
        <v>1922119.2853655787</v>
      </c>
    </row>
    <row r="131">
      <c r="A131">
        <v>130</v>
      </c>
      <c r="B131">
        <v>2035</v>
      </c>
      <c r="C131" t="str">
        <v>Окт</v>
      </c>
      <c r="D131">
        <f>H130</f>
        <v>1922119.2853655787</v>
      </c>
      <c r="E131">
        <v>6000</v>
      </c>
      <c r="F131">
        <v>0</v>
      </c>
      <c r="G131">
        <f>D131*0.00797414</f>
        <v>15327.249102609272</v>
      </c>
      <c r="H131">
        <f>SUM(D131:G131)</f>
        <v>1943446.534468188</v>
      </c>
    </row>
    <row r="132">
      <c r="A132">
        <v>131</v>
      </c>
      <c r="B132">
        <v>2035</v>
      </c>
      <c r="C132" t="str">
        <v>Ноя</v>
      </c>
      <c r="D132">
        <f>H131</f>
        <v>1943446.534468188</v>
      </c>
      <c r="E132">
        <v>6000</v>
      </c>
      <c r="F132">
        <v>0</v>
      </c>
      <c r="G132">
        <f>D132*0.00797414</f>
        <v>15497.315581915691</v>
      </c>
      <c r="H132">
        <f>SUM(D132:G132)</f>
        <v>1964943.8500501036</v>
      </c>
    </row>
    <row r="133">
      <c r="A133">
        <v>132</v>
      </c>
      <c r="B133">
        <v>2035</v>
      </c>
      <c r="C133" t="str">
        <v>Дек</v>
      </c>
      <c r="D133">
        <f>H132</f>
        <v>1964943.8500501036</v>
      </c>
      <c r="E133">
        <v>6000</v>
      </c>
      <c r="F133">
        <v>0</v>
      </c>
      <c r="G133">
        <f>D133*0.00797414</f>
        <v>15668.738195210348</v>
      </c>
      <c r="H133">
        <f>SUM(D133:G133)</f>
        <v>1986612.588245314</v>
      </c>
    </row>
    <row r="134">
      <c r="A134">
        <v>133</v>
      </c>
      <c r="B134">
        <v>2036</v>
      </c>
      <c r="C134" t="str">
        <v>Янв</v>
      </c>
      <c r="D134">
        <f>H133</f>
        <v>1986612.588245314</v>
      </c>
      <c r="E134">
        <v>6000</v>
      </c>
      <c r="F134">
        <v>0</v>
      </c>
      <c r="G134">
        <f>D134*0.00797414</f>
        <v>15841.527756496105</v>
      </c>
      <c r="H134">
        <f>SUM(D134:G134)</f>
        <v>2008454.1160018102</v>
      </c>
    </row>
    <row r="135">
      <c r="A135">
        <v>134</v>
      </c>
      <c r="B135">
        <v>2036</v>
      </c>
      <c r="C135" t="str">
        <v>Фев</v>
      </c>
      <c r="D135">
        <f>H134</f>
        <v>2008454.1160018102</v>
      </c>
      <c r="E135">
        <v>6000</v>
      </c>
      <c r="F135">
        <v>0</v>
      </c>
      <c r="G135">
        <f>D135*0.00797414</f>
        <v>16015.695166008205</v>
      </c>
      <c r="H135">
        <f>SUM(D135:G135)</f>
        <v>2030469.8111678185</v>
      </c>
    </row>
    <row r="136">
      <c r="A136">
        <v>135</v>
      </c>
      <c r="B136">
        <v>2036</v>
      </c>
      <c r="C136" t="str">
        <v>Март</v>
      </c>
      <c r="D136">
        <f>H135</f>
        <v>2030469.8111678185</v>
      </c>
      <c r="E136">
        <v>6000</v>
      </c>
      <c r="F136">
        <v>0</v>
      </c>
      <c r="G136">
        <f>D136*0.00797414</f>
        <v>16191.251410901894</v>
      </c>
      <c r="H136">
        <f>SUM(D136:G136)</f>
        <v>2052661.0625787203</v>
      </c>
    </row>
    <row r="137">
      <c r="A137">
        <v>136</v>
      </c>
      <c r="B137">
        <v>2036</v>
      </c>
      <c r="C137" t="str">
        <v>Апр</v>
      </c>
      <c r="D137">
        <f>H136</f>
        <v>2052661.0625787203</v>
      </c>
      <c r="E137">
        <v>6000</v>
      </c>
      <c r="F137">
        <v>0</v>
      </c>
      <c r="G137">
        <f>D137*0.00797414</f>
        <v>16368.207565945533</v>
      </c>
      <c r="H137">
        <f>SUM(D137:G137)</f>
        <v>2075029.2701446658</v>
      </c>
    </row>
    <row r="138">
      <c r="A138">
        <v>137</v>
      </c>
      <c r="B138">
        <v>2036</v>
      </c>
      <c r="C138" t="str">
        <v>Май</v>
      </c>
      <c r="D138">
        <f>H137</f>
        <v>2075029.2701446658</v>
      </c>
      <c r="E138">
        <v>6000</v>
      </c>
      <c r="F138">
        <v>0</v>
      </c>
      <c r="G138">
        <f>D138*0.00797414</f>
        <v>16546.57479421925</v>
      </c>
      <c r="H138">
        <f>SUM(D138:G138)</f>
        <v>2097575.8449388854</v>
      </c>
    </row>
    <row r="139">
      <c r="A139">
        <v>138</v>
      </c>
      <c r="B139">
        <v>2036</v>
      </c>
      <c r="C139" t="str">
        <v>Июнь</v>
      </c>
      <c r="D139">
        <f>H138</f>
        <v>2097575.8449388854</v>
      </c>
      <c r="E139">
        <v>6000</v>
      </c>
      <c r="F139">
        <v>0</v>
      </c>
      <c r="G139">
        <f>D139*0.00797414</f>
        <v>16726.36434781914</v>
      </c>
      <c r="H139">
        <f>SUM(D139:G139)</f>
        <v>2120302.2092867047</v>
      </c>
    </row>
    <row r="140">
      <c r="A140">
        <v>139</v>
      </c>
      <c r="B140">
        <v>2036</v>
      </c>
      <c r="C140" t="str">
        <v>Июль</v>
      </c>
      <c r="D140">
        <f>H139</f>
        <v>2120302.2092867047</v>
      </c>
      <c r="E140">
        <v>6000</v>
      </c>
      <c r="F140">
        <v>0</v>
      </c>
      <c r="G140">
        <f>D140*0.00797414</f>
        <v>16907.587568567084</v>
      </c>
      <c r="H140">
        <f>SUM(D140:G140)</f>
        <v>2143209.796855272</v>
      </c>
    </row>
    <row r="141">
      <c r="A141">
        <v>140</v>
      </c>
      <c r="B141">
        <v>2036</v>
      </c>
      <c r="C141" t="str">
        <v>Авг</v>
      </c>
      <c r="D141">
        <f>H140</f>
        <v>2143209.796855272</v>
      </c>
      <c r="E141">
        <v>6000</v>
      </c>
      <c r="F141">
        <v>0</v>
      </c>
      <c r="G141">
        <f>D141*0.00797414</f>
        <v>17090.255888726246</v>
      </c>
      <c r="H141">
        <f>SUM(D141:G141)</f>
        <v>2166300.052743998</v>
      </c>
    </row>
    <row r="142">
      <c r="A142">
        <v>141</v>
      </c>
      <c r="B142">
        <v>2036</v>
      </c>
      <c r="C142" t="str">
        <v>Сен</v>
      </c>
      <c r="D142">
        <f>H141</f>
        <v>2166300.052743998</v>
      </c>
      <c r="E142">
        <v>6000</v>
      </c>
      <c r="F142">
        <v>0</v>
      </c>
      <c r="G142">
        <f>D142*0.00797414</f>
        <v>17274.380831722272</v>
      </c>
      <c r="H142">
        <f>SUM(D142:G142)</f>
        <v>2189574.43357572</v>
      </c>
    </row>
    <row r="143">
      <c r="A143">
        <v>142</v>
      </c>
      <c r="B143">
        <v>2036</v>
      </c>
      <c r="C143" t="str">
        <v>Окт</v>
      </c>
      <c r="D143">
        <f>H142</f>
        <v>2189574.43357572</v>
      </c>
      <c r="E143">
        <v>6000</v>
      </c>
      <c r="F143">
        <v>0</v>
      </c>
      <c r="G143">
        <f>D143*0.00797414</f>
        <v>17459.97401287021</v>
      </c>
      <c r="H143">
        <f>SUM(D143:G143)</f>
        <v>2213034.4075885904</v>
      </c>
    </row>
    <row r="144">
      <c r="A144">
        <v>143</v>
      </c>
      <c r="B144">
        <v>2036</v>
      </c>
      <c r="C144" t="str">
        <v>Ноя</v>
      </c>
      <c r="D144">
        <f>H143</f>
        <v>2213034.4075885904</v>
      </c>
      <c r="E144">
        <v>6000</v>
      </c>
      <c r="F144">
        <v>0</v>
      </c>
      <c r="G144">
        <f>D144*0.00797414</f>
        <v>17647.047140107272</v>
      </c>
      <c r="H144">
        <f>SUM(D144:G144)</f>
        <v>2236681.454728698</v>
      </c>
    </row>
    <row r="145">
      <c r="A145">
        <v>144</v>
      </c>
      <c r="B145">
        <v>2036</v>
      </c>
      <c r="C145" t="str">
        <v>Дек</v>
      </c>
      <c r="D145">
        <f>H144</f>
        <v>2236681.454728698</v>
      </c>
      <c r="E145">
        <v>6000</v>
      </c>
      <c r="F145">
        <v>0</v>
      </c>
      <c r="G145">
        <f>D145*0.00797414</f>
        <v>17835.612014731396</v>
      </c>
      <c r="H145">
        <f>SUM(D145:G145)</f>
        <v>2260517.0667434293</v>
      </c>
    </row>
    <row r="146">
      <c r="A146">
        <v>145</v>
      </c>
      <c r="B146">
        <v>2037</v>
      </c>
      <c r="C146" t="str">
        <v>Янв</v>
      </c>
      <c r="D146">
        <f>H145</f>
        <v>2260517.0667434293</v>
      </c>
      <c r="E146">
        <v>6000</v>
      </c>
      <c r="F146">
        <v>0</v>
      </c>
      <c r="G146">
        <f>D146*0.00797414</f>
        <v>18025.68053214573</v>
      </c>
      <c r="H146">
        <f>SUM(D146:G146)</f>
        <v>2284542.747275575</v>
      </c>
    </row>
    <row r="147">
      <c r="A147">
        <v>146</v>
      </c>
      <c r="B147">
        <v>2037</v>
      </c>
      <c r="C147" t="str">
        <v>Фев</v>
      </c>
      <c r="D147">
        <f>H146</f>
        <v>2284542.747275575</v>
      </c>
      <c r="E147">
        <v>6000</v>
      </c>
      <c r="F147">
        <v>0</v>
      </c>
      <c r="G147">
        <f>D147*0.00797414</f>
        <v>18217.26468260904</v>
      </c>
      <c r="H147">
        <f>SUM(D147:G147)</f>
        <v>2308760.011958184</v>
      </c>
    </row>
    <row r="148">
      <c r="A148">
        <v>147</v>
      </c>
      <c r="B148">
        <v>2037</v>
      </c>
      <c r="C148" t="str">
        <v>Март</v>
      </c>
      <c r="D148">
        <f>H147</f>
        <v>2308760.011958184</v>
      </c>
      <c r="E148">
        <v>6000</v>
      </c>
      <c r="F148">
        <v>0</v>
      </c>
      <c r="G148">
        <f>D148*0.00797414</f>
        <v>18410.376551992096</v>
      </c>
      <c r="H148">
        <f>SUM(D148:G148)</f>
        <v>2333170.3885101764</v>
      </c>
    </row>
    <row r="149">
      <c r="A149">
        <v>148</v>
      </c>
      <c r="B149">
        <v>2037</v>
      </c>
      <c r="C149" t="str">
        <v>Апр</v>
      </c>
      <c r="D149">
        <f>H148</f>
        <v>2333170.3885101764</v>
      </c>
      <c r="E149">
        <v>6000</v>
      </c>
      <c r="F149">
        <v>0</v>
      </c>
      <c r="G149">
        <f>D149*0.00797414</f>
        <v>18605.0283225401</v>
      </c>
      <c r="H149">
        <f>SUM(D149:G149)</f>
        <v>2357775.4168327167</v>
      </c>
    </row>
    <row r="150">
      <c r="A150">
        <v>149</v>
      </c>
      <c r="B150">
        <v>2037</v>
      </c>
      <c r="C150" t="str">
        <v>Май</v>
      </c>
      <c r="D150">
        <f>H149</f>
        <v>2357775.4168327167</v>
      </c>
      <c r="E150">
        <v>6000</v>
      </c>
      <c r="F150">
        <v>0</v>
      </c>
      <c r="G150">
        <f>D150*0.00797414</f>
        <v>18801.23227364119</v>
      </c>
      <c r="H150">
        <f>SUM(D150:G150)</f>
        <v>2382576.6491063577</v>
      </c>
    </row>
    <row r="151">
      <c r="A151">
        <v>150</v>
      </c>
      <c r="B151">
        <v>2037</v>
      </c>
      <c r="C151" t="str">
        <v>Июнь</v>
      </c>
      <c r="D151">
        <f>H150</f>
        <v>2382576.6491063577</v>
      </c>
      <c r="E151">
        <v>6000</v>
      </c>
      <c r="F151">
        <v>0</v>
      </c>
      <c r="G151">
        <f>D151*0.00797414</f>
        <v>18999.000782601066</v>
      </c>
      <c r="H151">
        <f>SUM(D151:G151)</f>
        <v>2407575.649888959</v>
      </c>
    </row>
    <row r="152">
      <c r="A152">
        <v>151</v>
      </c>
      <c r="B152">
        <v>2037</v>
      </c>
      <c r="C152" t="str">
        <v>Июль</v>
      </c>
      <c r="D152">
        <f>H151</f>
        <v>2407575.649888959</v>
      </c>
      <c r="E152">
        <v>6000</v>
      </c>
      <c r="F152">
        <v>0</v>
      </c>
      <c r="G152">
        <f>D152*0.00797414</f>
        <v>19198.3463254238</v>
      </c>
      <c r="H152">
        <f>SUM(D152:G152)</f>
        <v>2432773.9962143824</v>
      </c>
    </row>
    <row r="153">
      <c r="A153">
        <v>152</v>
      </c>
      <c r="B153">
        <v>2037</v>
      </c>
      <c r="C153" t="str">
        <v>Авг</v>
      </c>
      <c r="D153">
        <f>H152</f>
        <v>2432773.9962143824</v>
      </c>
      <c r="E153">
        <v>6000</v>
      </c>
      <c r="F153">
        <v>0</v>
      </c>
      <c r="G153">
        <f>D153*0.00797414</f>
        <v>19399.28147759888</v>
      </c>
      <c r="H153">
        <f>SUM(D153:G153)</f>
        <v>2458173.2776919813</v>
      </c>
    </row>
    <row r="154">
      <c r="A154">
        <v>153</v>
      </c>
      <c r="B154">
        <v>2037</v>
      </c>
      <c r="C154" t="str">
        <v>Сен</v>
      </c>
      <c r="D154">
        <f>H153</f>
        <v>2458173.2776919813</v>
      </c>
      <c r="E154">
        <v>6000</v>
      </c>
      <c r="F154">
        <v>0</v>
      </c>
      <c r="G154">
        <f>D154*0.00797414</f>
        <v>19601.81891489451</v>
      </c>
      <c r="H154">
        <f>SUM(D154:G154)</f>
        <v>2483775.096606876</v>
      </c>
    </row>
    <row r="155">
      <c r="A155">
        <v>154</v>
      </c>
      <c r="B155">
        <v>2037</v>
      </c>
      <c r="C155" t="str">
        <v>Окт</v>
      </c>
      <c r="D155">
        <f>H154</f>
        <v>2483775.096606876</v>
      </c>
      <c r="E155">
        <v>6000</v>
      </c>
      <c r="F155">
        <v>0</v>
      </c>
      <c r="G155">
        <f>D155*0.00797414</f>
        <v>19805.97141415724</v>
      </c>
      <c r="H155">
        <f>SUM(D155:G155)</f>
        <v>2509581.068021033</v>
      </c>
    </row>
    <row r="156">
      <c r="A156">
        <v>155</v>
      </c>
      <c r="B156">
        <v>2037</v>
      </c>
      <c r="C156" t="str">
        <v>Ноя</v>
      </c>
      <c r="D156">
        <f>H155</f>
        <v>2509581.068021033</v>
      </c>
      <c r="E156">
        <v>6000</v>
      </c>
      <c r="F156">
        <v>0</v>
      </c>
      <c r="G156">
        <f>D156*0.00797414</f>
        <v>20011.751854118007</v>
      </c>
      <c r="H156">
        <f>SUM(D156:G156)</f>
        <v>2535592.819875151</v>
      </c>
    </row>
    <row r="157">
      <c r="A157">
        <v>156</v>
      </c>
      <c r="B157">
        <v>2037</v>
      </c>
      <c r="C157" t="str">
        <v>Дек</v>
      </c>
      <c r="D157">
        <f>H156</f>
        <v>2535592.819875151</v>
      </c>
      <c r="E157">
        <v>6000</v>
      </c>
      <c r="F157">
        <v>0</v>
      </c>
      <c r="G157">
        <f>D157*0.00797414</f>
        <v>20219.17321620454</v>
      </c>
      <c r="H157">
        <f>SUM(D157:G157)</f>
        <v>2561811.9930913555</v>
      </c>
    </row>
    <row r="158">
      <c r="A158">
        <v>157</v>
      </c>
      <c r="B158">
        <v>2038</v>
      </c>
      <c r="C158" t="str">
        <v>Янв</v>
      </c>
      <c r="D158">
        <f>H157</f>
        <v>2561811.9930913555</v>
      </c>
      <c r="E158">
        <v>6000</v>
      </c>
      <c r="F158">
        <v>0</v>
      </c>
      <c r="G158">
        <f>D158*0.00797414</f>
        <v>20428.24858536031</v>
      </c>
      <c r="H158">
        <f>SUM(D158:G158)</f>
        <v>2588240.2416767157</v>
      </c>
    </row>
    <row r="159">
      <c r="A159">
        <v>158</v>
      </c>
      <c r="B159">
        <v>2038</v>
      </c>
      <c r="C159" t="str">
        <v>Фев</v>
      </c>
      <c r="D159">
        <f>H158</f>
        <v>2588240.2416767157</v>
      </c>
      <c r="E159">
        <v>6000</v>
      </c>
      <c r="F159">
        <v>0</v>
      </c>
      <c r="G159">
        <f>D159*0.00797414</f>
        <v>20638.991150869948</v>
      </c>
      <c r="H159">
        <f>SUM(D159:G159)</f>
        <v>2614879.2328275857</v>
      </c>
    </row>
    <row r="160">
      <c r="A160">
        <v>159</v>
      </c>
      <c r="B160">
        <v>2038</v>
      </c>
      <c r="C160" t="str">
        <v>Март</v>
      </c>
      <c r="D160">
        <f>H159</f>
        <v>2614879.2328275857</v>
      </c>
      <c r="E160">
        <v>6000</v>
      </c>
      <c r="F160">
        <v>0</v>
      </c>
      <c r="G160">
        <f>D160*0.00797414</f>
        <v>20851.41420719131</v>
      </c>
      <c r="H160">
        <f>SUM(D160:G160)</f>
        <v>2641730.647034777</v>
      </c>
    </row>
    <row r="161">
      <c r="A161">
        <v>160</v>
      </c>
      <c r="B161">
        <v>2038</v>
      </c>
      <c r="C161" t="str">
        <v>Апр</v>
      </c>
      <c r="D161">
        <f>H160</f>
        <v>2641730.647034777</v>
      </c>
      <c r="E161">
        <v>6000</v>
      </c>
      <c r="F161">
        <v>0</v>
      </c>
      <c r="G161">
        <f>D161*0.00797414</f>
        <v>21065.531154794113</v>
      </c>
      <c r="H161">
        <f>SUM(D161:G161)</f>
        <v>2668796.178189571</v>
      </c>
    </row>
    <row r="162">
      <c r="A162">
        <v>161</v>
      </c>
      <c r="B162">
        <v>2038</v>
      </c>
      <c r="C162" t="str">
        <v>Май</v>
      </c>
      <c r="D162">
        <f>H161</f>
        <v>2668796.178189571</v>
      </c>
      <c r="E162">
        <v>6000</v>
      </c>
      <c r="F162">
        <v>0</v>
      </c>
      <c r="G162">
        <f>D162*0.00797414</f>
        <v>21281.355501005313</v>
      </c>
      <c r="H162">
        <f>SUM(D162:G162)</f>
        <v>2696077.5336905764</v>
      </c>
    </row>
    <row r="163">
      <c r="A163">
        <v>162</v>
      </c>
      <c r="B163">
        <v>2038</v>
      </c>
      <c r="C163" t="str">
        <v>Июнь</v>
      </c>
      <c r="D163">
        <f>H162</f>
        <v>2696077.5336905764</v>
      </c>
      <c r="E163">
        <v>6000</v>
      </c>
      <c r="F163">
        <v>0</v>
      </c>
      <c r="G163">
        <f>D163*0.00797414</f>
        <v>21498.900860861177</v>
      </c>
      <c r="H163">
        <f>SUM(D163:G163)</f>
        <v>2723576.4345514374</v>
      </c>
    </row>
    <row r="164">
      <c r="A164">
        <v>163</v>
      </c>
      <c r="B164">
        <v>2038</v>
      </c>
      <c r="C164" t="str">
        <v>Июль</v>
      </c>
      <c r="D164">
        <f>H163</f>
        <v>2723576.4345514374</v>
      </c>
      <c r="E164">
        <v>6000</v>
      </c>
      <c r="F164">
        <v>0</v>
      </c>
      <c r="G164">
        <f>D164*0.00797414</f>
        <v>21718.180957966186</v>
      </c>
      <c r="H164">
        <f>SUM(D164:G164)</f>
        <v>2751294.6155094034</v>
      </c>
    </row>
    <row r="165">
      <c r="A165">
        <v>164</v>
      </c>
      <c r="B165">
        <v>2038</v>
      </c>
      <c r="C165" t="str">
        <v>Авг</v>
      </c>
      <c r="D165">
        <f>H164</f>
        <v>2751294.6155094034</v>
      </c>
      <c r="E165">
        <v>6000</v>
      </c>
      <c r="F165">
        <v>0</v>
      </c>
      <c r="G165">
        <f>D165*0.00797414</f>
        <v>21939.20962535877</v>
      </c>
      <c r="H165">
        <f>SUM(D165:G165)</f>
        <v>2779233.825134762</v>
      </c>
    </row>
    <row r="166">
      <c r="A166">
        <v>165</v>
      </c>
      <c r="B166">
        <v>2038</v>
      </c>
      <c r="C166" t="str">
        <v>Сен</v>
      </c>
      <c r="D166">
        <f>H165</f>
        <v>2779233.825134762</v>
      </c>
      <c r="E166">
        <v>6000</v>
      </c>
      <c r="F166">
        <v>0</v>
      </c>
      <c r="G166">
        <f>D166*0.00797414</f>
        <v>22162.00080638396</v>
      </c>
      <c r="H166">
        <f>SUM(D166:G166)</f>
        <v>2807395.825941146</v>
      </c>
    </row>
    <row r="167">
      <c r="A167">
        <v>166</v>
      </c>
      <c r="B167">
        <v>2038</v>
      </c>
      <c r="C167" t="str">
        <v>Окт</v>
      </c>
      <c r="D167">
        <f>H166</f>
        <v>2807395.825941146</v>
      </c>
      <c r="E167">
        <v>6000</v>
      </c>
      <c r="F167">
        <v>0</v>
      </c>
      <c r="G167">
        <f>D167*0.00797414</f>
        <v>22386.568555572965</v>
      </c>
      <c r="H167">
        <f>SUM(D167:G167)</f>
        <v>2835782.394496719</v>
      </c>
    </row>
    <row r="168">
      <c r="A168">
        <v>167</v>
      </c>
      <c r="B168">
        <v>2038</v>
      </c>
      <c r="C168" t="str">
        <v>Ноя</v>
      </c>
      <c r="D168">
        <f>H167</f>
        <v>2835782.394496719</v>
      </c>
      <c r="E168">
        <v>6000</v>
      </c>
      <c r="F168">
        <v>0</v>
      </c>
      <c r="G168">
        <f>D168*0.00797414</f>
        <v>22612.927039529808</v>
      </c>
      <c r="H168">
        <f>SUM(D168:G168)</f>
        <v>2864395.3215362485</v>
      </c>
    </row>
    <row r="169">
      <c r="A169">
        <v>168</v>
      </c>
      <c r="B169">
        <v>2038</v>
      </c>
      <c r="C169" t="str">
        <v>Дек</v>
      </c>
      <c r="D169">
        <f>H168</f>
        <v>2864395.3215362485</v>
      </c>
      <c r="E169">
        <v>6000</v>
      </c>
      <c r="F169">
        <v>0</v>
      </c>
      <c r="G169">
        <f>D169*0.00797414</f>
        <v>22841.090537824995</v>
      </c>
      <c r="H169">
        <f>SUM(D169:G169)</f>
        <v>2893236.4120740737</v>
      </c>
    </row>
    <row r="170">
      <c r="A170">
        <v>169</v>
      </c>
      <c r="B170">
        <v>2039</v>
      </c>
      <c r="C170" t="str">
        <v>Янв</v>
      </c>
      <c r="D170">
        <f>H169</f>
        <v>2893236.4120740737</v>
      </c>
      <c r="E170">
        <v>6000</v>
      </c>
      <c r="F170">
        <v>0</v>
      </c>
      <c r="G170">
        <f>D170*0.00797414</f>
        <v>23071.07344389634</v>
      </c>
      <c r="H170">
        <f>SUM(D170:G170)</f>
        <v>2922307.48551797</v>
      </c>
    </row>
    <row r="171">
      <c r="A171">
        <v>170</v>
      </c>
      <c r="B171">
        <v>2039</v>
      </c>
      <c r="C171" t="str">
        <v>Фев</v>
      </c>
      <c r="D171">
        <f>H170</f>
        <v>2922307.48551797</v>
      </c>
      <c r="E171">
        <v>6000</v>
      </c>
      <c r="F171">
        <v>0</v>
      </c>
      <c r="G171">
        <f>D171*0.00797414</f>
        <v>23302.890265956943</v>
      </c>
      <c r="H171">
        <f>SUM(D171:G171)</f>
        <v>2951610.375783927</v>
      </c>
    </row>
    <row r="172">
      <c r="A172">
        <v>171</v>
      </c>
      <c r="B172">
        <v>2039</v>
      </c>
      <c r="C172" t="str">
        <v>Март</v>
      </c>
      <c r="D172">
        <f>H171</f>
        <v>2951610.375783927</v>
      </c>
      <c r="E172">
        <v>6000</v>
      </c>
      <c r="F172">
        <v>0</v>
      </c>
      <c r="G172">
        <f>D172*0.00797414</f>
        <v>23536.555627910442</v>
      </c>
      <c r="H172">
        <f>SUM(D172:G172)</f>
        <v>2981146.931411837</v>
      </c>
    </row>
    <row r="173">
      <c r="A173">
        <v>172</v>
      </c>
      <c r="B173">
        <v>2039</v>
      </c>
      <c r="C173" t="str">
        <v>Апр</v>
      </c>
      <c r="D173">
        <f>H172</f>
        <v>2981146.931411837</v>
      </c>
      <c r="E173">
        <v>6000</v>
      </c>
      <c r="F173">
        <v>0</v>
      </c>
      <c r="G173">
        <f>D173*0.00797414</f>
        <v>23772.084270273528</v>
      </c>
      <c r="H173">
        <f>SUM(D173:G173)</f>
        <v>3010919.0156821106</v>
      </c>
    </row>
    <row r="174">
      <c r="A174">
        <v>173</v>
      </c>
      <c r="B174">
        <v>2039</v>
      </c>
      <c r="C174" t="str">
        <v>Май</v>
      </c>
      <c r="D174">
        <f>H173</f>
        <v>3010919.0156821106</v>
      </c>
      <c r="E174">
        <v>6000</v>
      </c>
      <c r="F174">
        <v>0</v>
      </c>
      <c r="G174">
        <f>D174*0.00797414</f>
        <v>24009.491051105844</v>
      </c>
      <c r="H174">
        <f>SUM(D174:G174)</f>
        <v>3040928.5067332163</v>
      </c>
    </row>
    <row r="175">
      <c r="A175">
        <v>174</v>
      </c>
      <c r="B175">
        <v>2039</v>
      </c>
      <c r="C175" t="str">
        <v>Июнь</v>
      </c>
      <c r="D175">
        <f>H174</f>
        <v>3040928.5067332163</v>
      </c>
      <c r="E175">
        <v>6000</v>
      </c>
      <c r="F175">
        <v>0</v>
      </c>
      <c r="G175">
        <f>D175*0.00797414</f>
        <v>24248.790946947294</v>
      </c>
      <c r="H175">
        <f>SUM(D175:G175)</f>
        <v>3071177.2976801638</v>
      </c>
    </row>
    <row r="176">
      <c r="A176">
        <v>175</v>
      </c>
      <c r="B176">
        <v>2039</v>
      </c>
      <c r="C176" t="str">
        <v>Июль</v>
      </c>
      <c r="D176">
        <f>H175</f>
        <v>3071177.2976801638</v>
      </c>
      <c r="E176">
        <v>6000</v>
      </c>
      <c r="F176">
        <v>0</v>
      </c>
      <c r="G176">
        <f>D176*0.00797414</f>
        <v>24489.999053762804</v>
      </c>
      <c r="H176">
        <f>SUM(D176:G176)</f>
        <v>3101667.2967339265</v>
      </c>
    </row>
    <row r="177">
      <c r="A177">
        <v>176</v>
      </c>
      <c r="B177">
        <v>2039</v>
      </c>
      <c r="C177" t="str">
        <v>Авг</v>
      </c>
      <c r="D177">
        <f>H176</f>
        <v>3101667.2967339265</v>
      </c>
      <c r="E177">
        <v>6000</v>
      </c>
      <c r="F177">
        <v>0</v>
      </c>
      <c r="G177">
        <f>D177*0.00797414</f>
        <v>24733.13058789465</v>
      </c>
      <c r="H177">
        <f>SUM(D177:G177)</f>
        <v>3132400.427321821</v>
      </c>
    </row>
    <row r="178">
      <c r="A178">
        <v>177</v>
      </c>
      <c r="B178">
        <v>2039</v>
      </c>
      <c r="C178" t="str">
        <v>Сен</v>
      </c>
      <c r="D178">
        <f>H177</f>
        <v>3132400.427321821</v>
      </c>
      <c r="E178">
        <v>6000</v>
      </c>
      <c r="F178">
        <v>0</v>
      </c>
      <c r="G178">
        <f>D178*0.00797414</f>
        <v>24978.20088702236</v>
      </c>
      <c r="H178">
        <f>SUM(D178:G178)</f>
        <v>3163378.6282088435</v>
      </c>
    </row>
    <row r="179">
      <c r="A179">
        <v>178</v>
      </c>
      <c r="B179">
        <v>2039</v>
      </c>
      <c r="C179" t="str">
        <v>Окт</v>
      </c>
      <c r="D179">
        <f>H178</f>
        <v>3163378.6282088435</v>
      </c>
      <c r="E179">
        <v>6000</v>
      </c>
      <c r="F179">
        <v>0</v>
      </c>
      <c r="G179">
        <f>D179*0.00797414</f>
        <v>25225.22541113027</v>
      </c>
      <c r="H179">
        <f>SUM(D179:G179)</f>
        <v>3194603.8536199736</v>
      </c>
    </row>
    <row r="180">
      <c r="A180">
        <v>179</v>
      </c>
      <c r="B180">
        <v>2039</v>
      </c>
      <c r="C180" t="str">
        <v>Ноя</v>
      </c>
      <c r="D180">
        <f>H179</f>
        <v>3194603.8536199736</v>
      </c>
      <c r="E180">
        <v>6000</v>
      </c>
      <c r="F180">
        <v>0</v>
      </c>
      <c r="G180">
        <f>D180*0.00797414</f>
        <v>25474.219743482794</v>
      </c>
      <c r="H180">
        <f>SUM(D180:G180)</f>
        <v>3226078.0733634564</v>
      </c>
    </row>
    <row r="181">
      <c r="A181">
        <v>180</v>
      </c>
      <c r="B181">
        <v>2039</v>
      </c>
      <c r="C181" t="str">
        <v>Дек</v>
      </c>
      <c r="D181">
        <f>H180</f>
        <v>3226078.0733634564</v>
      </c>
      <c r="E181">
        <v>6000</v>
      </c>
      <c r="F181">
        <v>0</v>
      </c>
      <c r="G181">
        <f>D181*0.00797414</f>
        <v>25725.199591607503</v>
      </c>
      <c r="H181">
        <f>SUM(D181:G181)</f>
        <v>3257803.2729550637</v>
      </c>
    </row>
  </sheetData>
  <ignoredErrors>
    <ignoredError numberStoredAsText="1" sqref="A1:H1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Итоговые показатели</v>
      </c>
      <c r="B1" t="str">
        <v>Значение</v>
      </c>
    </row>
    <row r="2">
      <c r="A2" t="str">
        <v>Всего внесено клиентом</v>
      </c>
      <c r="B2">
        <v>1080000</v>
      </c>
    </row>
    <row r="3">
      <c r="A3" t="str">
        <v>Всего получено от государства</v>
      </c>
      <c r="B3">
        <v>360000</v>
      </c>
    </row>
    <row r="4">
      <c r="A4" t="str">
        <v>Начисленный доход</v>
      </c>
      <c r="B4">
        <v>1817803.2729550656</v>
      </c>
    </row>
    <row r="5">
      <c r="A5" t="str">
        <v>Итоговый капитал</v>
      </c>
      <c r="B5">
        <v>3257803.2729550637</v>
      </c>
    </row>
    <row r="6">
      <c r="A6" t="str">
        <v>Эффективная доходность</v>
      </c>
      <c r="B6" t="str">
        <v>201.65% (абсолютная)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Входные данные</vt:lpstr>
      <vt:lpstr>Помесячный расчет</vt:lpstr>
      <vt:lpstr>Итоги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